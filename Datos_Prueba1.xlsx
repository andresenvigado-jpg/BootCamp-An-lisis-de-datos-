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esktop\"/>
    </mc:Choice>
  </mc:AlternateContent>
  <xr:revisionPtr revIDLastSave="0" documentId="13_ncr:1_{5697E1BA-253E-4598-93DB-ABEAE0EE34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entas Retail 2024" sheetId="1" r:id="rId1"/>
  </sheets>
  <definedNames>
    <definedName name="_xlnm._FilterDatabase" localSheetId="0" hidden="1">'Ventas Retail 2024'!$A$1:$O$101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02" i="1" l="1"/>
  <c r="I102" i="1"/>
  <c r="H102" i="1"/>
  <c r="J101" i="1"/>
  <c r="L101" i="1" s="1"/>
  <c r="M101" i="1" s="1"/>
  <c r="J100" i="1"/>
  <c r="J99" i="1"/>
  <c r="J98" i="1"/>
  <c r="L98" i="1" s="1"/>
  <c r="J97" i="1"/>
  <c r="J96" i="1"/>
  <c r="J95" i="1"/>
  <c r="L95" i="1" s="1"/>
  <c r="M95" i="1" s="1"/>
  <c r="J94" i="1"/>
  <c r="L93" i="1"/>
  <c r="M93" i="1" s="1"/>
  <c r="J93" i="1"/>
  <c r="J92" i="1"/>
  <c r="J91" i="1"/>
  <c r="L90" i="1"/>
  <c r="M90" i="1" s="1"/>
  <c r="J90" i="1"/>
  <c r="J89" i="1"/>
  <c r="L88" i="1"/>
  <c r="M88" i="1" s="1"/>
  <c r="J88" i="1"/>
  <c r="J87" i="1"/>
  <c r="L87" i="1" s="1"/>
  <c r="J86" i="1"/>
  <c r="L86" i="1" s="1"/>
  <c r="M86" i="1" s="1"/>
  <c r="J85" i="1"/>
  <c r="L85" i="1" s="1"/>
  <c r="J84" i="1"/>
  <c r="L84" i="1" s="1"/>
  <c r="J83" i="1"/>
  <c r="L83" i="1" s="1"/>
  <c r="M83" i="1" s="1"/>
  <c r="L82" i="1"/>
  <c r="M82" i="1" s="1"/>
  <c r="J82" i="1"/>
  <c r="J81" i="1"/>
  <c r="L81" i="1" s="1"/>
  <c r="M81" i="1" s="1"/>
  <c r="J80" i="1"/>
  <c r="J79" i="1"/>
  <c r="J78" i="1"/>
  <c r="J77" i="1"/>
  <c r="J76" i="1"/>
  <c r="J75" i="1"/>
  <c r="L75" i="1" s="1"/>
  <c r="M75" i="1" s="1"/>
  <c r="J74" i="1"/>
  <c r="L73" i="1"/>
  <c r="M73" i="1" s="1"/>
  <c r="J73" i="1"/>
  <c r="J72" i="1"/>
  <c r="J71" i="1"/>
  <c r="L70" i="1"/>
  <c r="M70" i="1" s="1"/>
  <c r="J70" i="1"/>
  <c r="J69" i="1"/>
  <c r="L68" i="1"/>
  <c r="M68" i="1" s="1"/>
  <c r="J68" i="1"/>
  <c r="J67" i="1"/>
  <c r="L67" i="1" s="1"/>
  <c r="J66" i="1"/>
  <c r="L66" i="1" s="1"/>
  <c r="M66" i="1" s="1"/>
  <c r="J65" i="1"/>
  <c r="L65" i="1" s="1"/>
  <c r="J64" i="1"/>
  <c r="L64" i="1" s="1"/>
  <c r="J63" i="1"/>
  <c r="L63" i="1" s="1"/>
  <c r="M63" i="1" s="1"/>
  <c r="L62" i="1"/>
  <c r="M62" i="1" s="1"/>
  <c r="J62" i="1"/>
  <c r="J61" i="1"/>
  <c r="L61" i="1" s="1"/>
  <c r="M61" i="1" s="1"/>
  <c r="J60" i="1"/>
  <c r="J59" i="1"/>
  <c r="J58" i="1"/>
  <c r="L58" i="1" s="1"/>
  <c r="J57" i="1"/>
  <c r="J56" i="1"/>
  <c r="J55" i="1"/>
  <c r="L55" i="1" s="1"/>
  <c r="M55" i="1" s="1"/>
  <c r="J54" i="1"/>
  <c r="L53" i="1"/>
  <c r="M53" i="1" s="1"/>
  <c r="J53" i="1"/>
  <c r="J52" i="1"/>
  <c r="J51" i="1"/>
  <c r="L50" i="1"/>
  <c r="M50" i="1" s="1"/>
  <c r="J50" i="1"/>
  <c r="J49" i="1"/>
  <c r="L48" i="1"/>
  <c r="M48" i="1" s="1"/>
  <c r="J48" i="1"/>
  <c r="J47" i="1"/>
  <c r="L47" i="1" s="1"/>
  <c r="J46" i="1"/>
  <c r="L46" i="1" s="1"/>
  <c r="M46" i="1" s="1"/>
  <c r="J45" i="1"/>
  <c r="L45" i="1" s="1"/>
  <c r="J44" i="1"/>
  <c r="J43" i="1"/>
  <c r="L43" i="1" s="1"/>
  <c r="M43" i="1" s="1"/>
  <c r="L42" i="1"/>
  <c r="M42" i="1" s="1"/>
  <c r="J42" i="1"/>
  <c r="J41" i="1"/>
  <c r="L41" i="1" s="1"/>
  <c r="M41" i="1" s="1"/>
  <c r="J40" i="1"/>
  <c r="J39" i="1"/>
  <c r="J38" i="1"/>
  <c r="L38" i="1" s="1"/>
  <c r="J37" i="1"/>
  <c r="J36" i="1"/>
  <c r="J35" i="1"/>
  <c r="L35" i="1" s="1"/>
  <c r="M35" i="1" s="1"/>
  <c r="J34" i="1"/>
  <c r="L33" i="1"/>
  <c r="M33" i="1" s="1"/>
  <c r="J33" i="1"/>
  <c r="J32" i="1"/>
  <c r="J31" i="1"/>
  <c r="L31" i="1" s="1"/>
  <c r="L30" i="1"/>
  <c r="M30" i="1" s="1"/>
  <c r="J30" i="1"/>
  <c r="J29" i="1"/>
  <c r="L28" i="1"/>
  <c r="M28" i="1" s="1"/>
  <c r="J28" i="1"/>
  <c r="J27" i="1"/>
  <c r="J26" i="1"/>
  <c r="L26" i="1" s="1"/>
  <c r="M26" i="1" s="1"/>
  <c r="J25" i="1"/>
  <c r="L25" i="1" s="1"/>
  <c r="J24" i="1"/>
  <c r="L24" i="1" s="1"/>
  <c r="J23" i="1"/>
  <c r="L23" i="1" s="1"/>
  <c r="M23" i="1" s="1"/>
  <c r="L22" i="1"/>
  <c r="M22" i="1" s="1"/>
  <c r="J22" i="1"/>
  <c r="J21" i="1"/>
  <c r="L21" i="1" s="1"/>
  <c r="M21" i="1" s="1"/>
  <c r="J20" i="1"/>
  <c r="J19" i="1"/>
  <c r="J18" i="1"/>
  <c r="L18" i="1" s="1"/>
  <c r="J17" i="1"/>
  <c r="L17" i="1" s="1"/>
  <c r="J16" i="1"/>
  <c r="J15" i="1"/>
  <c r="L15" i="1" s="1"/>
  <c r="M15" i="1" s="1"/>
  <c r="J14" i="1"/>
  <c r="L13" i="1"/>
  <c r="M13" i="1" s="1"/>
  <c r="J13" i="1"/>
  <c r="J12" i="1"/>
  <c r="J11" i="1"/>
  <c r="L11" i="1" s="1"/>
  <c r="L10" i="1"/>
  <c r="M10" i="1" s="1"/>
  <c r="J10" i="1"/>
  <c r="J9" i="1"/>
  <c r="L8" i="1"/>
  <c r="M8" i="1" s="1"/>
  <c r="J8" i="1"/>
  <c r="J7" i="1"/>
  <c r="L7" i="1" s="1"/>
  <c r="J6" i="1"/>
  <c r="L6" i="1" s="1"/>
  <c r="M6" i="1" s="1"/>
  <c r="J5" i="1"/>
  <c r="L5" i="1" s="1"/>
  <c r="J4" i="1"/>
  <c r="J102" i="1" s="1"/>
  <c r="J3" i="1"/>
  <c r="L3" i="1" s="1"/>
  <c r="M3" i="1" s="1"/>
  <c r="L2" i="1"/>
  <c r="J2" i="1"/>
  <c r="M9" i="1" l="1"/>
  <c r="M100" i="1"/>
  <c r="M92" i="1"/>
  <c r="M27" i="1"/>
  <c r="M76" i="1"/>
  <c r="M29" i="1"/>
  <c r="M79" i="1"/>
  <c r="M96" i="1"/>
  <c r="M49" i="1"/>
  <c r="M39" i="1"/>
  <c r="M72" i="1"/>
  <c r="M74" i="1"/>
  <c r="M80" i="1"/>
  <c r="M32" i="1"/>
  <c r="M99" i="1"/>
  <c r="M16" i="1"/>
  <c r="M51" i="1"/>
  <c r="M54" i="1"/>
  <c r="L51" i="1"/>
  <c r="M64" i="1"/>
  <c r="M84" i="1"/>
  <c r="L91" i="1"/>
  <c r="M91" i="1" s="1"/>
  <c r="M11" i="1"/>
  <c r="M31" i="1"/>
  <c r="L78" i="1"/>
  <c r="M78" i="1" s="1"/>
  <c r="M5" i="1"/>
  <c r="L12" i="1"/>
  <c r="M12" i="1" s="1"/>
  <c r="M25" i="1"/>
  <c r="L32" i="1"/>
  <c r="M45" i="1"/>
  <c r="L52" i="1"/>
  <c r="M52" i="1" s="1"/>
  <c r="M65" i="1"/>
  <c r="L72" i="1"/>
  <c r="M85" i="1"/>
  <c r="L92" i="1"/>
  <c r="L19" i="1"/>
  <c r="M19" i="1" s="1"/>
  <c r="L39" i="1"/>
  <c r="L59" i="1"/>
  <c r="M59" i="1" s="1"/>
  <c r="L79" i="1"/>
  <c r="L99" i="1"/>
  <c r="M24" i="1"/>
  <c r="M18" i="1"/>
  <c r="M38" i="1"/>
  <c r="M58" i="1"/>
  <c r="M98" i="1"/>
  <c r="L20" i="1"/>
  <c r="M20" i="1" s="1"/>
  <c r="L60" i="1"/>
  <c r="M60" i="1" s="1"/>
  <c r="L100" i="1"/>
  <c r="M7" i="1"/>
  <c r="L14" i="1"/>
  <c r="M14" i="1" s="1"/>
  <c r="L34" i="1"/>
  <c r="M34" i="1" s="1"/>
  <c r="M47" i="1"/>
  <c r="L54" i="1"/>
  <c r="M67" i="1"/>
  <c r="L74" i="1"/>
  <c r="M87" i="1"/>
  <c r="L94" i="1"/>
  <c r="M94" i="1" s="1"/>
  <c r="L37" i="1"/>
  <c r="M37" i="1" s="1"/>
  <c r="L57" i="1"/>
  <c r="M57" i="1" s="1"/>
  <c r="L77" i="1"/>
  <c r="M77" i="1" s="1"/>
  <c r="L97" i="1"/>
  <c r="M97" i="1" s="1"/>
  <c r="L4" i="1"/>
  <c r="M17" i="1"/>
  <c r="L44" i="1"/>
  <c r="M44" i="1" s="1"/>
  <c r="M4" i="1"/>
  <c r="L71" i="1"/>
  <c r="M71" i="1" s="1"/>
  <c r="L40" i="1"/>
  <c r="L102" i="1" s="1"/>
  <c r="L80" i="1"/>
  <c r="L27" i="1"/>
  <c r="M2" i="1"/>
  <c r="L9" i="1"/>
  <c r="L29" i="1"/>
  <c r="L49" i="1"/>
  <c r="L69" i="1"/>
  <c r="M69" i="1" s="1"/>
  <c r="L89" i="1"/>
  <c r="M89" i="1" s="1"/>
  <c r="L16" i="1"/>
  <c r="L36" i="1"/>
  <c r="M36" i="1" s="1"/>
  <c r="L56" i="1"/>
  <c r="M56" i="1" s="1"/>
  <c r="L76" i="1"/>
  <c r="L96" i="1"/>
  <c r="M40" i="1" l="1"/>
  <c r="M102" i="1"/>
</calcChain>
</file>

<file path=xl/sharedStrings.xml><?xml version="1.0" encoding="utf-8"?>
<sst xmlns="http://schemas.openxmlformats.org/spreadsheetml/2006/main" count="716" uniqueCount="192">
  <si>
    <t>ID Venta</t>
  </si>
  <si>
    <t>Fecha</t>
  </si>
  <si>
    <t>Categoría</t>
  </si>
  <si>
    <t>Producto</t>
  </si>
  <si>
    <t>Canal de Venta</t>
  </si>
  <si>
    <t>Ciudad</t>
  </si>
  <si>
    <t>Vendedor</t>
  </si>
  <si>
    <t>Unidades</t>
  </si>
  <si>
    <t>Precio Unitario (COP)</t>
  </si>
  <si>
    <t>Subtotal (COP)</t>
  </si>
  <si>
    <t>Descuento (%)</t>
  </si>
  <si>
    <t>Descuento (COP)</t>
  </si>
  <si>
    <t>Total Venta (COP)</t>
  </si>
  <si>
    <t>Método de Pago</t>
  </si>
  <si>
    <t>Calificación Cliente</t>
  </si>
  <si>
    <t>VTA-2024001</t>
  </si>
  <si>
    <t>Ropa y Accesorios</t>
  </si>
  <si>
    <t>Camiseta Polo</t>
  </si>
  <si>
    <t>Marketplace</t>
  </si>
  <si>
    <t>Barranquilla</t>
  </si>
  <si>
    <t>María González</t>
  </si>
  <si>
    <t>Daviplata</t>
  </si>
  <si>
    <t>VTA-2024002</t>
  </si>
  <si>
    <t>Alimentos</t>
  </si>
  <si>
    <t>Café Gourmet 500g</t>
  </si>
  <si>
    <t>Tienda Física</t>
  </si>
  <si>
    <t>Medellín</t>
  </si>
  <si>
    <t>Efectivo</t>
  </si>
  <si>
    <t>VTA-2024003</t>
  </si>
  <si>
    <t>Chocolate Artesanal</t>
  </si>
  <si>
    <t>App Móvil</t>
  </si>
  <si>
    <t>Cartagena</t>
  </si>
  <si>
    <t>Carlos Ríos</t>
  </si>
  <si>
    <t>Tarjeta Débito</t>
  </si>
  <si>
    <t>VTA-2024004</t>
  </si>
  <si>
    <t>Juguetes</t>
  </si>
  <si>
    <t>LEGO Creator</t>
  </si>
  <si>
    <t>Pereira</t>
  </si>
  <si>
    <t>Ana Martínez</t>
  </si>
  <si>
    <t>Nequi</t>
  </si>
  <si>
    <t>VTA-2024005</t>
  </si>
  <si>
    <t>Libros y Papelería</t>
  </si>
  <si>
    <t>Calculadora Científica</t>
  </si>
  <si>
    <t>VTA-2024006</t>
  </si>
  <si>
    <t>Deportes</t>
  </si>
  <si>
    <t>Botella Térmica</t>
  </si>
  <si>
    <t>Bogotá</t>
  </si>
  <si>
    <t>Tarjeta Crédito</t>
  </si>
  <si>
    <t>VTA-2024007</t>
  </si>
  <si>
    <t>Belleza y Salud</t>
  </si>
  <si>
    <t>Afeitadora Eléctrica</t>
  </si>
  <si>
    <t>Cali</t>
  </si>
  <si>
    <t>Andrés López</t>
  </si>
  <si>
    <t>VTA-2024008</t>
  </si>
  <si>
    <t>Bolso Cuero</t>
  </si>
  <si>
    <t>E-commerce</t>
  </si>
  <si>
    <t>Luis Herrera</t>
  </si>
  <si>
    <t>VTA-2024009</t>
  </si>
  <si>
    <t>VTA-2024010</t>
  </si>
  <si>
    <t>Muñeca Barbie</t>
  </si>
  <si>
    <t>Diego Morales</t>
  </si>
  <si>
    <t>VTA-2024011</t>
  </si>
  <si>
    <t>Suplemento Vitamínico</t>
  </si>
  <si>
    <t>Catálogo</t>
  </si>
  <si>
    <t>Julián Torres</t>
  </si>
  <si>
    <t>VTA-2024012</t>
  </si>
  <si>
    <t>Electrónica</t>
  </si>
  <si>
    <t>Smartphone Samsung A54</t>
  </si>
  <si>
    <t>Valentina Cruz</t>
  </si>
  <si>
    <t>PSE</t>
  </si>
  <si>
    <t>VTA-2024013</t>
  </si>
  <si>
    <t>Kit Maquillaje</t>
  </si>
  <si>
    <t>Paola Vargas</t>
  </si>
  <si>
    <t>VTA-2024014</t>
  </si>
  <si>
    <t>Hogar y Cocina</t>
  </si>
  <si>
    <t>Aspiradora Robótica</t>
  </si>
  <si>
    <t>VTA-2024015</t>
  </si>
  <si>
    <t>Pesas Ajustables</t>
  </si>
  <si>
    <t>VTA-2024016</t>
  </si>
  <si>
    <t>Carro Radio Control</t>
  </si>
  <si>
    <t>VTA-2024017</t>
  </si>
  <si>
    <t>Set Ollas Antiadherentes</t>
  </si>
  <si>
    <t>Sofía Restrepo</t>
  </si>
  <si>
    <t>VTA-2024018</t>
  </si>
  <si>
    <t>VTA-2024019</t>
  </si>
  <si>
    <t>VTA-2024020</t>
  </si>
  <si>
    <t>VTA-2024021</t>
  </si>
  <si>
    <t>Agenda Ejecutiva 2025</t>
  </si>
  <si>
    <t>VTA-2024022</t>
  </si>
  <si>
    <t>Atlas Mundial</t>
  </si>
  <si>
    <t>VTA-2024023</t>
  </si>
  <si>
    <t>VTA-2024024</t>
  </si>
  <si>
    <t>VTA-2024025</t>
  </si>
  <si>
    <t>Auriculares Bluetooth</t>
  </si>
  <si>
    <t>VTA-2024026</t>
  </si>
  <si>
    <t>VTA-2024027</t>
  </si>
  <si>
    <t>Manizales</t>
  </si>
  <si>
    <t>VTA-2024028</t>
  </si>
  <si>
    <t>VTA-2024029</t>
  </si>
  <si>
    <t>Zapatillas Running</t>
  </si>
  <si>
    <t>Bucaramanga</t>
  </si>
  <si>
    <t>VTA-2024030</t>
  </si>
  <si>
    <t>VTA-2024031</t>
  </si>
  <si>
    <t>Perfume Carolina Herrera</t>
  </si>
  <si>
    <t>VTA-2024032</t>
  </si>
  <si>
    <t>VTA-2024033</t>
  </si>
  <si>
    <t>Licuadora Oster</t>
  </si>
  <si>
    <t>VTA-2024034</t>
  </si>
  <si>
    <t>VTA-2024035</t>
  </si>
  <si>
    <t>Set Cuchillos</t>
  </si>
  <si>
    <t>VTA-2024036</t>
  </si>
  <si>
    <t>Tablet Lenovo</t>
  </si>
  <si>
    <t>VTA-2024037</t>
  </si>
  <si>
    <t>VTA-2024038</t>
  </si>
  <si>
    <t>VTA-2024039</t>
  </si>
  <si>
    <t>VTA-2024040</t>
  </si>
  <si>
    <t>Bicicleta Montaña</t>
  </si>
  <si>
    <t>VTA-2024041</t>
  </si>
  <si>
    <t>Té Orgánico</t>
  </si>
  <si>
    <t>VTA-2024042</t>
  </si>
  <si>
    <t>VTA-2024043</t>
  </si>
  <si>
    <t>Colchoneta Yoga</t>
  </si>
  <si>
    <t>VTA-2024044</t>
  </si>
  <si>
    <t>VTA-2024045</t>
  </si>
  <si>
    <t>VTA-2024046</t>
  </si>
  <si>
    <t>Plancha Vapor</t>
  </si>
  <si>
    <t>VTA-2024047</t>
  </si>
  <si>
    <t>Rompecabezas 1000pzs</t>
  </si>
  <si>
    <t>VTA-2024048</t>
  </si>
  <si>
    <t>VTA-2024049</t>
  </si>
  <si>
    <t>VTA-2024050</t>
  </si>
  <si>
    <t>Aceite de Oliva Extra Virgen</t>
  </si>
  <si>
    <t>VTA-2024051</t>
  </si>
  <si>
    <t>VTA-2024052</t>
  </si>
  <si>
    <t>VTA-2024053</t>
  </si>
  <si>
    <t>VTA-2024054</t>
  </si>
  <si>
    <t>VTA-2024055</t>
  </si>
  <si>
    <t>VTA-2024056</t>
  </si>
  <si>
    <t>Cargador Inalámbrico</t>
  </si>
  <si>
    <t>VTA-2024057</t>
  </si>
  <si>
    <t>Raqueta Tenis</t>
  </si>
  <si>
    <t>VTA-2024058</t>
  </si>
  <si>
    <t>VTA-2024059</t>
  </si>
  <si>
    <t>VTA-2024060</t>
  </si>
  <si>
    <t>VTA-2024061</t>
  </si>
  <si>
    <t>VTA-2024062</t>
  </si>
  <si>
    <t>VTA-2024063</t>
  </si>
  <si>
    <t>VTA-2024064</t>
  </si>
  <si>
    <t>VTA-2024065</t>
  </si>
  <si>
    <t>VTA-2024066</t>
  </si>
  <si>
    <t>Kit Snacks Saludables</t>
  </si>
  <si>
    <t>VTA-2024067</t>
  </si>
  <si>
    <t>Cuaderno Moleskine</t>
  </si>
  <si>
    <t>VTA-2024068</t>
  </si>
  <si>
    <t>VTA-2024069</t>
  </si>
  <si>
    <t>VTA-2024070</t>
  </si>
  <si>
    <t>VTA-2024071</t>
  </si>
  <si>
    <t>VTA-2024072</t>
  </si>
  <si>
    <t>VTA-2024073</t>
  </si>
  <si>
    <t>VTA-2024074</t>
  </si>
  <si>
    <t>VTA-2024075</t>
  </si>
  <si>
    <t>VTA-2024076</t>
  </si>
  <si>
    <t>VTA-2024077</t>
  </si>
  <si>
    <t>VTA-2024078</t>
  </si>
  <si>
    <t>Casco Ciclismo</t>
  </si>
  <si>
    <t>VTA-2024079</t>
  </si>
  <si>
    <t>Jean Slim Fit</t>
  </si>
  <si>
    <t>VTA-2024080</t>
  </si>
  <si>
    <t>VTA-2024081</t>
  </si>
  <si>
    <t>Gorra Deportiva</t>
  </si>
  <si>
    <t>VTA-2024082</t>
  </si>
  <si>
    <t>VTA-2024083</t>
  </si>
  <si>
    <t>VTA-2024084</t>
  </si>
  <si>
    <t>VTA-2024085</t>
  </si>
  <si>
    <t>VTA-2024086</t>
  </si>
  <si>
    <t>VTA-2024087</t>
  </si>
  <si>
    <t>VTA-2024088</t>
  </si>
  <si>
    <t>VTA-2024089</t>
  </si>
  <si>
    <t>VTA-2024090</t>
  </si>
  <si>
    <t>Libro Análisis de Datos</t>
  </si>
  <si>
    <t>VTA-2024091</t>
  </si>
  <si>
    <t>VTA-2024092</t>
  </si>
  <si>
    <t>VTA-2024093</t>
  </si>
  <si>
    <t>VTA-2024094</t>
  </si>
  <si>
    <t>VTA-2024095</t>
  </si>
  <si>
    <t>VTA-2024096</t>
  </si>
  <si>
    <t>VTA-2024097</t>
  </si>
  <si>
    <t>VTA-2024098</t>
  </si>
  <si>
    <t>Juego de Mesa Monopoly</t>
  </si>
  <si>
    <t>VTA-2024099</t>
  </si>
  <si>
    <t>VTA-2024100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</si>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</sst>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0.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C0C8D0"/>
      </left>
      <right style="thin">
        <color rgb="FFC0C8D0"/>
      </right>
      <top style="thin">
        <color rgb="FFC0C8D0"/>
      </top>
      <bottom style="thin">
        <color rgb="FFC0C8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8D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zoomScaleNormal="100" workbookViewId="0">
      <pane ySplit="1" topLeftCell="A8" activePane="bottomLeft" state="frozen"/>
      <selection pane="bottomLeft" activeCell="G23" sqref="G23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0" customWidth="1"/>
    <col min="4" max="4" width="32" customWidth="1"/>
    <col min="5" max="5" width="18" customWidth="1"/>
    <col min="6" max="6" width="16" customWidth="1"/>
    <col min="7" max="7" width="20" customWidth="1"/>
    <col min="8" max="8" width="10" customWidth="1"/>
    <col min="9" max="10" width="20" customWidth="1"/>
    <col min="11" max="11" width="14" customWidth="1"/>
    <col min="12" max="12" width="18" customWidth="1"/>
    <col min="13" max="13" width="20" customWidth="1"/>
    <col min="14" max="15" width="18" customWidth="1"/>
  </cols>
  <sheetData>
    <row r="1" spans="1:15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>
        <v>45336</v>
      </c>
      <c r="C2" s="4" t="s">
        <v>16</v>
      </c>
      <c r="D2" s="4" t="s">
        <v>17</v>
      </c>
      <c r="E2" s="2" t="s">
        <v>18</v>
      </c>
      <c r="F2" s="2" t="s">
        <v>19</v>
      </c>
      <c r="G2" s="4" t="s">
        <v>20</v>
      </c>
      <c r="H2" s="2">
        <v>5</v>
      </c>
      <c r="I2" s="5">
        <v>84000</v>
      </c>
      <c r="J2" s="5">
        <f t="shared" ref="J2:J33" si="0">H2*I2</f>
        <v>420000</v>
      </c>
      <c r="K2" s="6">
        <v>0.15</v>
      </c>
      <c r="L2" s="5">
        <f t="shared" ref="L2:L33" si="1">J2*K2</f>
        <v>63000</v>
      </c>
      <c r="M2" s="5">
        <f t="shared" ref="M2:M33" si="2">J2-L2</f>
        <v>357000</v>
      </c>
      <c r="N2" s="2" t="s">
        <v>21</v>
      </c>
      <c r="O2" s="2">
        <v>4.8</v>
      </c>
    </row>
    <row r="3" spans="1:15" x14ac:dyDescent="0.25">
      <c r="A3" s="7" t="s">
        <v>22</v>
      </c>
      <c r="B3" s="8">
        <v>45624</v>
      </c>
      <c r="C3" s="9" t="s">
        <v>23</v>
      </c>
      <c r="D3" s="9" t="s">
        <v>24</v>
      </c>
      <c r="E3" s="7" t="s">
        <v>25</v>
      </c>
      <c r="F3" s="7" t="s">
        <v>26</v>
      </c>
      <c r="G3" s="9" t="s">
        <v>20</v>
      </c>
      <c r="H3" s="7">
        <v>8</v>
      </c>
      <c r="I3" s="10">
        <v>81000</v>
      </c>
      <c r="J3" s="10">
        <f t="shared" si="0"/>
        <v>648000</v>
      </c>
      <c r="K3" s="11">
        <v>0.1</v>
      </c>
      <c r="L3" s="10">
        <f t="shared" si="1"/>
        <v>64800</v>
      </c>
      <c r="M3" s="10">
        <f t="shared" si="2"/>
        <v>583200</v>
      </c>
      <c r="N3" s="7" t="s">
        <v>27</v>
      </c>
      <c r="O3" s="7">
        <v>4.0999999999999996</v>
      </c>
    </row>
    <row r="4" spans="1:15" x14ac:dyDescent="0.25">
      <c r="A4" s="2" t="s">
        <v>28</v>
      </c>
      <c r="B4" s="3">
        <v>45402</v>
      </c>
      <c r="C4" s="4" t="s">
        <v>23</v>
      </c>
      <c r="D4" s="4" t="s">
        <v>29</v>
      </c>
      <c r="E4" s="2" t="s">
        <v>30</v>
      </c>
      <c r="F4" s="2" t="s">
        <v>31</v>
      </c>
      <c r="G4" s="4" t="s">
        <v>32</v>
      </c>
      <c r="H4" s="2">
        <v>6</v>
      </c>
      <c r="I4" s="5">
        <v>107000</v>
      </c>
      <c r="J4" s="5">
        <f t="shared" si="0"/>
        <v>642000</v>
      </c>
      <c r="K4" s="6">
        <v>0.05</v>
      </c>
      <c r="L4" s="5">
        <f t="shared" si="1"/>
        <v>32100</v>
      </c>
      <c r="M4" s="5">
        <f t="shared" si="2"/>
        <v>609900</v>
      </c>
      <c r="N4" s="2" t="s">
        <v>33</v>
      </c>
      <c r="O4" s="2">
        <v>3.6</v>
      </c>
    </row>
    <row r="5" spans="1:15" x14ac:dyDescent="0.25">
      <c r="A5" s="7" t="s">
        <v>34</v>
      </c>
      <c r="B5" s="8">
        <v>45314</v>
      </c>
      <c r="C5" s="9" t="s">
        <v>35</v>
      </c>
      <c r="D5" s="9" t="s">
        <v>36</v>
      </c>
      <c r="E5" s="7" t="s">
        <v>25</v>
      </c>
      <c r="F5" s="7" t="s">
        <v>37</v>
      </c>
      <c r="G5" s="9" t="s">
        <v>38</v>
      </c>
      <c r="H5" s="7">
        <v>12</v>
      </c>
      <c r="I5" s="10">
        <v>247000</v>
      </c>
      <c r="J5" s="10">
        <f t="shared" si="0"/>
        <v>2964000</v>
      </c>
      <c r="K5" s="11">
        <v>0</v>
      </c>
      <c r="L5" s="10">
        <f t="shared" si="1"/>
        <v>0</v>
      </c>
      <c r="M5" s="10">
        <f t="shared" si="2"/>
        <v>2964000</v>
      </c>
      <c r="N5" s="7" t="s">
        <v>39</v>
      </c>
      <c r="O5" s="7">
        <v>3.5</v>
      </c>
    </row>
    <row r="6" spans="1:15" x14ac:dyDescent="0.25">
      <c r="A6" s="2" t="s">
        <v>40</v>
      </c>
      <c r="B6" s="3">
        <v>45477</v>
      </c>
      <c r="C6" s="4" t="s">
        <v>41</v>
      </c>
      <c r="D6" s="4" t="s">
        <v>42</v>
      </c>
      <c r="E6" s="2" t="s">
        <v>25</v>
      </c>
      <c r="F6" s="2" t="s">
        <v>37</v>
      </c>
      <c r="G6" s="4" t="s">
        <v>38</v>
      </c>
      <c r="H6" s="2">
        <v>18</v>
      </c>
      <c r="I6" s="5">
        <v>50000</v>
      </c>
      <c r="J6" s="5">
        <f t="shared" si="0"/>
        <v>900000</v>
      </c>
      <c r="K6" s="6">
        <v>0.2</v>
      </c>
      <c r="L6" s="5">
        <f t="shared" si="1"/>
        <v>180000</v>
      </c>
      <c r="M6" s="5">
        <f t="shared" si="2"/>
        <v>720000</v>
      </c>
      <c r="N6" s="2" t="s">
        <v>21</v>
      </c>
      <c r="O6" s="2">
        <v>4.2</v>
      </c>
    </row>
    <row r="7" spans="1:15" x14ac:dyDescent="0.25">
      <c r="A7" s="7" t="s">
        <v>43</v>
      </c>
      <c r="B7" s="8">
        <v>45486</v>
      </c>
      <c r="C7" s="9" t="s">
        <v>44</v>
      </c>
      <c r="D7" s="9" t="s">
        <v>45</v>
      </c>
      <c r="E7" s="7" t="s">
        <v>25</v>
      </c>
      <c r="F7" s="7" t="s">
        <v>46</v>
      </c>
      <c r="G7" s="9" t="s">
        <v>20</v>
      </c>
      <c r="H7" s="7">
        <v>10</v>
      </c>
      <c r="I7" s="10">
        <v>217000</v>
      </c>
      <c r="J7" s="10">
        <f t="shared" si="0"/>
        <v>2170000</v>
      </c>
      <c r="K7" s="11">
        <v>0.2</v>
      </c>
      <c r="L7" s="10">
        <f t="shared" si="1"/>
        <v>434000</v>
      </c>
      <c r="M7" s="10">
        <f t="shared" si="2"/>
        <v>1736000</v>
      </c>
      <c r="N7" s="7" t="s">
        <v>47</v>
      </c>
      <c r="O7" s="7">
        <v>4.7</v>
      </c>
    </row>
    <row r="8" spans="1:15" x14ac:dyDescent="0.25">
      <c r="A8" s="2" t="s">
        <v>48</v>
      </c>
      <c r="B8" s="3">
        <v>45641</v>
      </c>
      <c r="C8" s="4" t="s">
        <v>49</v>
      </c>
      <c r="D8" s="4" t="s">
        <v>50</v>
      </c>
      <c r="E8" s="2" t="s">
        <v>18</v>
      </c>
      <c r="F8" s="2" t="s">
        <v>51</v>
      </c>
      <c r="G8" s="4" t="s">
        <v>52</v>
      </c>
      <c r="H8" s="2">
        <v>12</v>
      </c>
      <c r="I8" s="5">
        <v>130000</v>
      </c>
      <c r="J8" s="5">
        <f t="shared" si="0"/>
        <v>1560000</v>
      </c>
      <c r="K8" s="6">
        <v>0.15</v>
      </c>
      <c r="L8" s="5">
        <f t="shared" si="1"/>
        <v>234000</v>
      </c>
      <c r="M8" s="5">
        <f t="shared" si="2"/>
        <v>1326000</v>
      </c>
      <c r="N8" s="2" t="s">
        <v>33</v>
      </c>
      <c r="O8" s="2">
        <v>4.4000000000000004</v>
      </c>
    </row>
    <row r="9" spans="1:15" x14ac:dyDescent="0.25">
      <c r="A9" s="7" t="s">
        <v>53</v>
      </c>
      <c r="B9" s="8">
        <v>45404</v>
      </c>
      <c r="C9" s="9" t="s">
        <v>16</v>
      </c>
      <c r="D9" s="9" t="s">
        <v>54</v>
      </c>
      <c r="E9" s="7" t="s">
        <v>55</v>
      </c>
      <c r="F9" s="7" t="s">
        <v>19</v>
      </c>
      <c r="G9" s="9" t="s">
        <v>56</v>
      </c>
      <c r="H9" s="7">
        <v>15</v>
      </c>
      <c r="I9" s="10">
        <v>229000</v>
      </c>
      <c r="J9" s="10">
        <f t="shared" si="0"/>
        <v>3435000</v>
      </c>
      <c r="K9" s="11">
        <v>0</v>
      </c>
      <c r="L9" s="10">
        <f t="shared" si="1"/>
        <v>0</v>
      </c>
      <c r="M9" s="10">
        <f t="shared" si="2"/>
        <v>3435000</v>
      </c>
      <c r="N9" s="7" t="s">
        <v>21</v>
      </c>
      <c r="O9" s="7">
        <v>4.4000000000000004</v>
      </c>
    </row>
    <row r="10" spans="1:15" x14ac:dyDescent="0.25">
      <c r="A10" s="2" t="s">
        <v>57</v>
      </c>
      <c r="B10" s="3">
        <v>45582</v>
      </c>
      <c r="C10" s="4" t="s">
        <v>35</v>
      </c>
      <c r="D10" s="4" t="s">
        <v>36</v>
      </c>
      <c r="E10" s="2" t="s">
        <v>55</v>
      </c>
      <c r="F10" s="2" t="s">
        <v>46</v>
      </c>
      <c r="G10" s="4" t="s">
        <v>52</v>
      </c>
      <c r="H10" s="2">
        <v>13</v>
      </c>
      <c r="I10" s="5">
        <v>95000</v>
      </c>
      <c r="J10" s="5">
        <f t="shared" si="0"/>
        <v>1235000</v>
      </c>
      <c r="K10" s="6">
        <v>0</v>
      </c>
      <c r="L10" s="5">
        <f t="shared" si="1"/>
        <v>0</v>
      </c>
      <c r="M10" s="5">
        <f t="shared" si="2"/>
        <v>1235000</v>
      </c>
      <c r="N10" s="2" t="s">
        <v>47</v>
      </c>
      <c r="O10" s="2">
        <v>4.8</v>
      </c>
    </row>
    <row r="11" spans="1:15" x14ac:dyDescent="0.25">
      <c r="A11" s="7" t="s">
        <v>58</v>
      </c>
      <c r="B11" s="8">
        <v>45567</v>
      </c>
      <c r="C11" s="9" t="s">
        <v>35</v>
      </c>
      <c r="D11" s="9" t="s">
        <v>59</v>
      </c>
      <c r="E11" s="7" t="s">
        <v>30</v>
      </c>
      <c r="F11" s="7" t="s">
        <v>37</v>
      </c>
      <c r="G11" s="9" t="s">
        <v>60</v>
      </c>
      <c r="H11" s="7">
        <v>5</v>
      </c>
      <c r="I11" s="10">
        <v>94000</v>
      </c>
      <c r="J11" s="10">
        <f t="shared" si="0"/>
        <v>470000</v>
      </c>
      <c r="K11" s="11">
        <v>0</v>
      </c>
      <c r="L11" s="10">
        <f t="shared" si="1"/>
        <v>0</v>
      </c>
      <c r="M11" s="10">
        <f t="shared" si="2"/>
        <v>470000</v>
      </c>
      <c r="N11" s="7" t="s">
        <v>47</v>
      </c>
      <c r="O11" s="7">
        <v>4.5</v>
      </c>
    </row>
    <row r="12" spans="1:15" x14ac:dyDescent="0.25">
      <c r="A12" s="2" t="s">
        <v>61</v>
      </c>
      <c r="B12" s="3">
        <v>45338</v>
      </c>
      <c r="C12" s="4" t="s">
        <v>49</v>
      </c>
      <c r="D12" s="4" t="s">
        <v>62</v>
      </c>
      <c r="E12" s="2" t="s">
        <v>63</v>
      </c>
      <c r="F12" s="2" t="s">
        <v>37</v>
      </c>
      <c r="G12" s="4" t="s">
        <v>64</v>
      </c>
      <c r="H12" s="2">
        <v>13</v>
      </c>
      <c r="I12" s="5">
        <v>210000</v>
      </c>
      <c r="J12" s="5">
        <f t="shared" si="0"/>
        <v>2730000</v>
      </c>
      <c r="K12" s="6">
        <v>0</v>
      </c>
      <c r="L12" s="5">
        <f t="shared" si="1"/>
        <v>0</v>
      </c>
      <c r="M12" s="5">
        <f t="shared" si="2"/>
        <v>2730000</v>
      </c>
      <c r="N12" s="2" t="s">
        <v>47</v>
      </c>
      <c r="O12" s="2">
        <v>4</v>
      </c>
    </row>
    <row r="13" spans="1:15" x14ac:dyDescent="0.25">
      <c r="A13" s="7" t="s">
        <v>65</v>
      </c>
      <c r="B13" s="8">
        <v>45531</v>
      </c>
      <c r="C13" s="9" t="s">
        <v>66</v>
      </c>
      <c r="D13" s="9" t="s">
        <v>67</v>
      </c>
      <c r="E13" s="7" t="s">
        <v>55</v>
      </c>
      <c r="F13" s="7" t="s">
        <v>51</v>
      </c>
      <c r="G13" s="9" t="s">
        <v>68</v>
      </c>
      <c r="H13" s="7">
        <v>20</v>
      </c>
      <c r="I13" s="10">
        <v>283000</v>
      </c>
      <c r="J13" s="10">
        <f t="shared" si="0"/>
        <v>5660000</v>
      </c>
      <c r="K13" s="11">
        <v>0.05</v>
      </c>
      <c r="L13" s="10">
        <f t="shared" si="1"/>
        <v>283000</v>
      </c>
      <c r="M13" s="10">
        <f t="shared" si="2"/>
        <v>5377000</v>
      </c>
      <c r="N13" s="7" t="s">
        <v>69</v>
      </c>
      <c r="O13" s="7">
        <v>4.2</v>
      </c>
    </row>
    <row r="14" spans="1:15" x14ac:dyDescent="0.25">
      <c r="A14" s="2" t="s">
        <v>70</v>
      </c>
      <c r="B14" s="3">
        <v>45514</v>
      </c>
      <c r="C14" s="4" t="s">
        <v>49</v>
      </c>
      <c r="D14" s="4" t="s">
        <v>71</v>
      </c>
      <c r="E14" s="2" t="s">
        <v>25</v>
      </c>
      <c r="F14" s="2" t="s">
        <v>26</v>
      </c>
      <c r="G14" s="4" t="s">
        <v>72</v>
      </c>
      <c r="H14" s="2">
        <v>9</v>
      </c>
      <c r="I14" s="5">
        <v>423000</v>
      </c>
      <c r="J14" s="5">
        <f t="shared" si="0"/>
        <v>3807000</v>
      </c>
      <c r="K14" s="6">
        <v>0.15</v>
      </c>
      <c r="L14" s="5">
        <f t="shared" si="1"/>
        <v>571050</v>
      </c>
      <c r="M14" s="5">
        <f t="shared" si="2"/>
        <v>3235950</v>
      </c>
      <c r="N14" s="2" t="s">
        <v>33</v>
      </c>
      <c r="O14" s="2">
        <v>3.2</v>
      </c>
    </row>
    <row r="15" spans="1:15" x14ac:dyDescent="0.25">
      <c r="A15" s="7" t="s">
        <v>73</v>
      </c>
      <c r="B15" s="8">
        <v>45619</v>
      </c>
      <c r="C15" s="9" t="s">
        <v>74</v>
      </c>
      <c r="D15" s="9" t="s">
        <v>75</v>
      </c>
      <c r="E15" s="7" t="s">
        <v>25</v>
      </c>
      <c r="F15" s="7" t="s">
        <v>31</v>
      </c>
      <c r="G15" s="9" t="s">
        <v>72</v>
      </c>
      <c r="H15" s="7">
        <v>6</v>
      </c>
      <c r="I15" s="10">
        <v>612000</v>
      </c>
      <c r="J15" s="10">
        <f t="shared" si="0"/>
        <v>3672000</v>
      </c>
      <c r="K15" s="11">
        <v>0</v>
      </c>
      <c r="L15" s="10">
        <f t="shared" si="1"/>
        <v>0</v>
      </c>
      <c r="M15" s="10">
        <f t="shared" si="2"/>
        <v>3672000</v>
      </c>
      <c r="N15" s="7" t="s">
        <v>21</v>
      </c>
      <c r="O15" s="7">
        <v>3.6</v>
      </c>
    </row>
    <row r="16" spans="1:15" x14ac:dyDescent="0.25">
      <c r="A16" s="2" t="s">
        <v>76</v>
      </c>
      <c r="B16" s="3">
        <v>45349</v>
      </c>
      <c r="C16" s="4" t="s">
        <v>44</v>
      </c>
      <c r="D16" s="4" t="s">
        <v>77</v>
      </c>
      <c r="E16" s="2" t="s">
        <v>18</v>
      </c>
      <c r="F16" s="2" t="s">
        <v>51</v>
      </c>
      <c r="G16" s="4" t="s">
        <v>72</v>
      </c>
      <c r="H16" s="2">
        <v>17</v>
      </c>
      <c r="I16" s="5">
        <v>51000</v>
      </c>
      <c r="J16" s="5">
        <f t="shared" si="0"/>
        <v>867000</v>
      </c>
      <c r="K16" s="6">
        <v>0.1</v>
      </c>
      <c r="L16" s="5">
        <f t="shared" si="1"/>
        <v>86700</v>
      </c>
      <c r="M16" s="5">
        <f t="shared" si="2"/>
        <v>780300</v>
      </c>
      <c r="N16" s="2" t="s">
        <v>33</v>
      </c>
      <c r="O16" s="2">
        <v>4</v>
      </c>
    </row>
    <row r="17" spans="1:15" x14ac:dyDescent="0.25">
      <c r="A17" s="7" t="s">
        <v>78</v>
      </c>
      <c r="B17" s="8">
        <v>45327</v>
      </c>
      <c r="C17" s="9" t="s">
        <v>35</v>
      </c>
      <c r="D17" s="9" t="s">
        <v>79</v>
      </c>
      <c r="E17" s="7" t="s">
        <v>55</v>
      </c>
      <c r="F17" s="7" t="s">
        <v>46</v>
      </c>
      <c r="G17" s="9" t="s">
        <v>20</v>
      </c>
      <c r="H17" s="7">
        <v>19</v>
      </c>
      <c r="I17" s="10">
        <v>273000</v>
      </c>
      <c r="J17" s="10">
        <f t="shared" si="0"/>
        <v>5187000</v>
      </c>
      <c r="K17" s="11">
        <v>0</v>
      </c>
      <c r="L17" s="10">
        <f t="shared" si="1"/>
        <v>0</v>
      </c>
      <c r="M17" s="10">
        <f t="shared" si="2"/>
        <v>5187000</v>
      </c>
      <c r="N17" s="7" t="s">
        <v>27</v>
      </c>
      <c r="O17" s="7">
        <v>4.5</v>
      </c>
    </row>
    <row r="18" spans="1:15" x14ac:dyDescent="0.25">
      <c r="A18" s="2" t="s">
        <v>80</v>
      </c>
      <c r="B18" s="3">
        <v>45645</v>
      </c>
      <c r="C18" s="4" t="s">
        <v>74</v>
      </c>
      <c r="D18" s="4" t="s">
        <v>81</v>
      </c>
      <c r="E18" s="2" t="s">
        <v>30</v>
      </c>
      <c r="F18" s="2" t="s">
        <v>51</v>
      </c>
      <c r="G18" s="4" t="s">
        <v>82</v>
      </c>
      <c r="H18" s="2">
        <v>17</v>
      </c>
      <c r="I18" s="5">
        <v>716000</v>
      </c>
      <c r="J18" s="5">
        <f t="shared" si="0"/>
        <v>12172000</v>
      </c>
      <c r="K18" s="6">
        <v>0.05</v>
      </c>
      <c r="L18" s="5">
        <f t="shared" si="1"/>
        <v>608600</v>
      </c>
      <c r="M18" s="5">
        <f t="shared" si="2"/>
        <v>11563400</v>
      </c>
      <c r="N18" s="2" t="s">
        <v>47</v>
      </c>
      <c r="O18" s="2">
        <v>4.9000000000000004</v>
      </c>
    </row>
    <row r="19" spans="1:15" x14ac:dyDescent="0.25">
      <c r="A19" s="7" t="s">
        <v>83</v>
      </c>
      <c r="B19" s="8">
        <v>45324</v>
      </c>
      <c r="C19" s="9" t="s">
        <v>44</v>
      </c>
      <c r="D19" s="9" t="s">
        <v>45</v>
      </c>
      <c r="E19" s="7" t="s">
        <v>18</v>
      </c>
      <c r="F19" s="7" t="s">
        <v>37</v>
      </c>
      <c r="G19" s="9" t="s">
        <v>52</v>
      </c>
      <c r="H19" s="7">
        <v>15</v>
      </c>
      <c r="I19" s="10">
        <v>1135000</v>
      </c>
      <c r="J19" s="10">
        <f t="shared" si="0"/>
        <v>17025000</v>
      </c>
      <c r="K19" s="11">
        <v>0.05</v>
      </c>
      <c r="L19" s="10">
        <f t="shared" si="1"/>
        <v>851250</v>
      </c>
      <c r="M19" s="10">
        <f t="shared" si="2"/>
        <v>16173750</v>
      </c>
      <c r="N19" s="7" t="s">
        <v>27</v>
      </c>
      <c r="O19" s="7">
        <v>3.5</v>
      </c>
    </row>
    <row r="20" spans="1:15" x14ac:dyDescent="0.25">
      <c r="A20" s="2" t="s">
        <v>84</v>
      </c>
      <c r="B20" s="3">
        <v>45409</v>
      </c>
      <c r="C20" s="4" t="s">
        <v>35</v>
      </c>
      <c r="D20" s="4" t="s">
        <v>36</v>
      </c>
      <c r="E20" s="2" t="s">
        <v>63</v>
      </c>
      <c r="F20" s="2" t="s">
        <v>19</v>
      </c>
      <c r="G20" s="4" t="s">
        <v>64</v>
      </c>
      <c r="H20" s="2">
        <v>8</v>
      </c>
      <c r="I20" s="5">
        <v>27000</v>
      </c>
      <c r="J20" s="5">
        <f t="shared" si="0"/>
        <v>216000</v>
      </c>
      <c r="K20" s="6">
        <v>0</v>
      </c>
      <c r="L20" s="5">
        <f t="shared" si="1"/>
        <v>0</v>
      </c>
      <c r="M20" s="5">
        <f t="shared" si="2"/>
        <v>216000</v>
      </c>
      <c r="N20" s="2" t="s">
        <v>21</v>
      </c>
      <c r="O20" s="2">
        <v>4.3</v>
      </c>
    </row>
    <row r="21" spans="1:15" x14ac:dyDescent="0.25">
      <c r="A21" s="7" t="s">
        <v>85</v>
      </c>
      <c r="B21" s="8">
        <v>45359</v>
      </c>
      <c r="C21" s="9" t="s">
        <v>16</v>
      </c>
      <c r="D21" s="9" t="s">
        <v>17</v>
      </c>
      <c r="E21" s="7" t="s">
        <v>18</v>
      </c>
      <c r="F21" s="7" t="s">
        <v>26</v>
      </c>
      <c r="G21" s="9" t="s">
        <v>72</v>
      </c>
      <c r="H21" s="7">
        <v>8</v>
      </c>
      <c r="I21" s="10">
        <v>176000</v>
      </c>
      <c r="J21" s="10">
        <f t="shared" si="0"/>
        <v>1408000</v>
      </c>
      <c r="K21" s="11">
        <v>0.15</v>
      </c>
      <c r="L21" s="10">
        <f t="shared" si="1"/>
        <v>211200</v>
      </c>
      <c r="M21" s="10">
        <f t="shared" si="2"/>
        <v>1196800</v>
      </c>
      <c r="N21" s="7" t="s">
        <v>69</v>
      </c>
      <c r="O21" s="7">
        <v>3.4</v>
      </c>
    </row>
    <row r="22" spans="1:15" x14ac:dyDescent="0.25">
      <c r="A22" s="2" t="s">
        <v>86</v>
      </c>
      <c r="B22" s="3">
        <v>45502</v>
      </c>
      <c r="C22" s="4" t="s">
        <v>41</v>
      </c>
      <c r="D22" s="4" t="s">
        <v>87</v>
      </c>
      <c r="E22" s="2" t="s">
        <v>30</v>
      </c>
      <c r="F22" s="2" t="s">
        <v>37</v>
      </c>
      <c r="G22" s="4" t="s">
        <v>20</v>
      </c>
      <c r="H22" s="2">
        <v>4</v>
      </c>
      <c r="I22" s="5">
        <v>25000</v>
      </c>
      <c r="J22" s="5">
        <f t="shared" si="0"/>
        <v>100000</v>
      </c>
      <c r="K22" s="6">
        <v>0.15</v>
      </c>
      <c r="L22" s="5">
        <f t="shared" si="1"/>
        <v>15000</v>
      </c>
      <c r="M22" s="5">
        <f t="shared" si="2"/>
        <v>85000</v>
      </c>
      <c r="N22" s="2" t="s">
        <v>69</v>
      </c>
      <c r="O22" s="2">
        <v>3.7</v>
      </c>
    </row>
    <row r="23" spans="1:15" x14ac:dyDescent="0.25">
      <c r="A23" s="7" t="s">
        <v>88</v>
      </c>
      <c r="B23" s="8">
        <v>45389</v>
      </c>
      <c r="C23" s="9" t="s">
        <v>41</v>
      </c>
      <c r="D23" s="9" t="s">
        <v>89</v>
      </c>
      <c r="E23" s="7" t="s">
        <v>25</v>
      </c>
      <c r="F23" s="7" t="s">
        <v>26</v>
      </c>
      <c r="G23" s="9" t="s">
        <v>32</v>
      </c>
      <c r="H23" s="7">
        <v>13</v>
      </c>
      <c r="I23" s="10">
        <v>56000</v>
      </c>
      <c r="J23" s="10">
        <f t="shared" si="0"/>
        <v>728000</v>
      </c>
      <c r="K23" s="11">
        <v>0.2</v>
      </c>
      <c r="L23" s="10">
        <f t="shared" si="1"/>
        <v>145600</v>
      </c>
      <c r="M23" s="10">
        <f t="shared" si="2"/>
        <v>582400</v>
      </c>
      <c r="N23" s="7" t="s">
        <v>27</v>
      </c>
      <c r="O23" s="7">
        <v>3.5</v>
      </c>
    </row>
    <row r="24" spans="1:15" x14ac:dyDescent="0.25">
      <c r="A24" s="2" t="s">
        <v>90</v>
      </c>
      <c r="B24" s="3">
        <v>45573</v>
      </c>
      <c r="C24" s="4" t="s">
        <v>41</v>
      </c>
      <c r="D24" s="4" t="s">
        <v>87</v>
      </c>
      <c r="E24" s="2" t="s">
        <v>30</v>
      </c>
      <c r="F24" s="2" t="s">
        <v>51</v>
      </c>
      <c r="G24" s="4" t="s">
        <v>82</v>
      </c>
      <c r="H24" s="2">
        <v>15</v>
      </c>
      <c r="I24" s="5">
        <v>45000</v>
      </c>
      <c r="J24" s="5">
        <f t="shared" si="0"/>
        <v>675000</v>
      </c>
      <c r="K24" s="6">
        <v>0.2</v>
      </c>
      <c r="L24" s="5">
        <f t="shared" si="1"/>
        <v>135000</v>
      </c>
      <c r="M24" s="5">
        <f t="shared" si="2"/>
        <v>540000</v>
      </c>
      <c r="N24" s="2" t="s">
        <v>27</v>
      </c>
      <c r="O24" s="2">
        <v>3.9</v>
      </c>
    </row>
    <row r="25" spans="1:15" x14ac:dyDescent="0.25">
      <c r="A25" s="7" t="s">
        <v>91</v>
      </c>
      <c r="B25" s="8">
        <v>45497</v>
      </c>
      <c r="C25" s="9" t="s">
        <v>16</v>
      </c>
      <c r="D25" s="9" t="s">
        <v>17</v>
      </c>
      <c r="E25" s="7" t="s">
        <v>63</v>
      </c>
      <c r="F25" s="7" t="s">
        <v>46</v>
      </c>
      <c r="G25" s="9" t="s">
        <v>38</v>
      </c>
      <c r="H25" s="7">
        <v>8</v>
      </c>
      <c r="I25" s="10">
        <v>117000</v>
      </c>
      <c r="J25" s="10">
        <f t="shared" si="0"/>
        <v>936000</v>
      </c>
      <c r="K25" s="11">
        <v>0.05</v>
      </c>
      <c r="L25" s="10">
        <f t="shared" si="1"/>
        <v>46800</v>
      </c>
      <c r="M25" s="10">
        <f t="shared" si="2"/>
        <v>889200</v>
      </c>
      <c r="N25" s="7" t="s">
        <v>69</v>
      </c>
      <c r="O25" s="7">
        <v>4</v>
      </c>
    </row>
    <row r="26" spans="1:15" x14ac:dyDescent="0.25">
      <c r="A26" s="2" t="s">
        <v>92</v>
      </c>
      <c r="B26" s="3">
        <v>45648</v>
      </c>
      <c r="C26" s="4" t="s">
        <v>66</v>
      </c>
      <c r="D26" s="4" t="s">
        <v>93</v>
      </c>
      <c r="E26" s="2" t="s">
        <v>30</v>
      </c>
      <c r="F26" s="2" t="s">
        <v>46</v>
      </c>
      <c r="G26" s="4" t="s">
        <v>68</v>
      </c>
      <c r="H26" s="2">
        <v>9</v>
      </c>
      <c r="I26" s="5">
        <v>1794000</v>
      </c>
      <c r="J26" s="5">
        <f t="shared" si="0"/>
        <v>16146000</v>
      </c>
      <c r="K26" s="6">
        <v>0.2</v>
      </c>
      <c r="L26" s="5">
        <f t="shared" si="1"/>
        <v>3229200</v>
      </c>
      <c r="M26" s="5">
        <f t="shared" si="2"/>
        <v>12916800</v>
      </c>
      <c r="N26" s="2" t="s">
        <v>69</v>
      </c>
      <c r="O26" s="2">
        <v>3.6</v>
      </c>
    </row>
    <row r="27" spans="1:15" x14ac:dyDescent="0.25">
      <c r="A27" s="7" t="s">
        <v>94</v>
      </c>
      <c r="B27" s="8">
        <v>45452</v>
      </c>
      <c r="C27" s="9" t="s">
        <v>41</v>
      </c>
      <c r="D27" s="9" t="s">
        <v>87</v>
      </c>
      <c r="E27" s="7" t="s">
        <v>55</v>
      </c>
      <c r="F27" s="7" t="s">
        <v>31</v>
      </c>
      <c r="G27" s="9" t="s">
        <v>20</v>
      </c>
      <c r="H27" s="7">
        <v>2</v>
      </c>
      <c r="I27" s="10">
        <v>88000</v>
      </c>
      <c r="J27" s="10">
        <f t="shared" si="0"/>
        <v>176000</v>
      </c>
      <c r="K27" s="11">
        <v>0.15</v>
      </c>
      <c r="L27" s="10">
        <f t="shared" si="1"/>
        <v>26400</v>
      </c>
      <c r="M27" s="10">
        <f t="shared" si="2"/>
        <v>149600</v>
      </c>
      <c r="N27" s="7" t="s">
        <v>39</v>
      </c>
      <c r="O27" s="7">
        <v>3.1</v>
      </c>
    </row>
    <row r="28" spans="1:15" x14ac:dyDescent="0.25">
      <c r="A28" s="2" t="s">
        <v>95</v>
      </c>
      <c r="B28" s="3">
        <v>45387</v>
      </c>
      <c r="C28" s="4" t="s">
        <v>66</v>
      </c>
      <c r="D28" s="4" t="s">
        <v>67</v>
      </c>
      <c r="E28" s="2" t="s">
        <v>63</v>
      </c>
      <c r="F28" s="2" t="s">
        <v>96</v>
      </c>
      <c r="G28" s="4" t="s">
        <v>72</v>
      </c>
      <c r="H28" s="2">
        <v>17</v>
      </c>
      <c r="I28" s="5">
        <v>480000</v>
      </c>
      <c r="J28" s="5">
        <f t="shared" si="0"/>
        <v>8160000</v>
      </c>
      <c r="K28" s="6">
        <v>0</v>
      </c>
      <c r="L28" s="5">
        <f t="shared" si="1"/>
        <v>0</v>
      </c>
      <c r="M28" s="5">
        <f t="shared" si="2"/>
        <v>8160000</v>
      </c>
      <c r="N28" s="2" t="s">
        <v>39</v>
      </c>
      <c r="O28" s="2">
        <v>3.2</v>
      </c>
    </row>
    <row r="29" spans="1:15" x14ac:dyDescent="0.25">
      <c r="A29" s="7" t="s">
        <v>97</v>
      </c>
      <c r="B29" s="8">
        <v>45609</v>
      </c>
      <c r="C29" s="9" t="s">
        <v>16</v>
      </c>
      <c r="D29" s="9" t="s">
        <v>54</v>
      </c>
      <c r="E29" s="7" t="s">
        <v>25</v>
      </c>
      <c r="F29" s="7" t="s">
        <v>19</v>
      </c>
      <c r="G29" s="9" t="s">
        <v>68</v>
      </c>
      <c r="H29" s="7">
        <v>4</v>
      </c>
      <c r="I29" s="10">
        <v>329000</v>
      </c>
      <c r="J29" s="10">
        <f t="shared" si="0"/>
        <v>1316000</v>
      </c>
      <c r="K29" s="11">
        <v>0</v>
      </c>
      <c r="L29" s="10">
        <f t="shared" si="1"/>
        <v>0</v>
      </c>
      <c r="M29" s="10">
        <f t="shared" si="2"/>
        <v>1316000</v>
      </c>
      <c r="N29" s="7" t="s">
        <v>39</v>
      </c>
      <c r="O29" s="7">
        <v>4.2</v>
      </c>
    </row>
    <row r="30" spans="1:15" x14ac:dyDescent="0.25">
      <c r="A30" s="2" t="s">
        <v>98</v>
      </c>
      <c r="B30" s="3">
        <v>45635</v>
      </c>
      <c r="C30" s="4" t="s">
        <v>16</v>
      </c>
      <c r="D30" s="4" t="s">
        <v>99</v>
      </c>
      <c r="E30" s="2" t="s">
        <v>63</v>
      </c>
      <c r="F30" s="2" t="s">
        <v>100</v>
      </c>
      <c r="G30" s="4" t="s">
        <v>82</v>
      </c>
      <c r="H30" s="2">
        <v>7</v>
      </c>
      <c r="I30" s="5">
        <v>195000</v>
      </c>
      <c r="J30" s="5">
        <f t="shared" si="0"/>
        <v>1365000</v>
      </c>
      <c r="K30" s="6">
        <v>0</v>
      </c>
      <c r="L30" s="5">
        <f t="shared" si="1"/>
        <v>0</v>
      </c>
      <c r="M30" s="5">
        <f t="shared" si="2"/>
        <v>1365000</v>
      </c>
      <c r="N30" s="2" t="s">
        <v>33</v>
      </c>
      <c r="O30" s="2">
        <v>3.8</v>
      </c>
    </row>
    <row r="31" spans="1:15" x14ac:dyDescent="0.25">
      <c r="A31" s="7" t="s">
        <v>101</v>
      </c>
      <c r="B31" s="8">
        <v>45401</v>
      </c>
      <c r="C31" s="9" t="s">
        <v>49</v>
      </c>
      <c r="D31" s="9" t="s">
        <v>50</v>
      </c>
      <c r="E31" s="7" t="s">
        <v>18</v>
      </c>
      <c r="F31" s="7" t="s">
        <v>26</v>
      </c>
      <c r="G31" s="9" t="s">
        <v>32</v>
      </c>
      <c r="H31" s="7">
        <v>15</v>
      </c>
      <c r="I31" s="10">
        <v>346000</v>
      </c>
      <c r="J31" s="10">
        <f t="shared" si="0"/>
        <v>5190000</v>
      </c>
      <c r="K31" s="11">
        <v>0.1</v>
      </c>
      <c r="L31" s="10">
        <f t="shared" si="1"/>
        <v>519000</v>
      </c>
      <c r="M31" s="10">
        <f t="shared" si="2"/>
        <v>4671000</v>
      </c>
      <c r="N31" s="7" t="s">
        <v>27</v>
      </c>
      <c r="O31" s="7">
        <v>3.1</v>
      </c>
    </row>
    <row r="32" spans="1:15" x14ac:dyDescent="0.25">
      <c r="A32" s="2" t="s">
        <v>102</v>
      </c>
      <c r="B32" s="3">
        <v>45652</v>
      </c>
      <c r="C32" s="4" t="s">
        <v>49</v>
      </c>
      <c r="D32" s="4" t="s">
        <v>103</v>
      </c>
      <c r="E32" s="2" t="s">
        <v>18</v>
      </c>
      <c r="F32" s="2" t="s">
        <v>26</v>
      </c>
      <c r="G32" s="4" t="s">
        <v>20</v>
      </c>
      <c r="H32" s="2">
        <v>12</v>
      </c>
      <c r="I32" s="5">
        <v>169000</v>
      </c>
      <c r="J32" s="5">
        <f t="shared" si="0"/>
        <v>2028000</v>
      </c>
      <c r="K32" s="6">
        <v>0</v>
      </c>
      <c r="L32" s="5">
        <f t="shared" si="1"/>
        <v>0</v>
      </c>
      <c r="M32" s="5">
        <f t="shared" si="2"/>
        <v>2028000</v>
      </c>
      <c r="N32" s="2" t="s">
        <v>69</v>
      </c>
      <c r="O32" s="2">
        <v>4.7</v>
      </c>
    </row>
    <row r="33" spans="1:15" x14ac:dyDescent="0.25">
      <c r="A33" s="7" t="s">
        <v>104</v>
      </c>
      <c r="B33" s="8">
        <v>45346</v>
      </c>
      <c r="C33" s="9" t="s">
        <v>49</v>
      </c>
      <c r="D33" s="9" t="s">
        <v>71</v>
      </c>
      <c r="E33" s="7" t="s">
        <v>63</v>
      </c>
      <c r="F33" s="7" t="s">
        <v>46</v>
      </c>
      <c r="G33" s="9" t="s">
        <v>72</v>
      </c>
      <c r="H33" s="7">
        <v>10</v>
      </c>
      <c r="I33" s="10">
        <v>368000</v>
      </c>
      <c r="J33" s="10">
        <f t="shared" si="0"/>
        <v>3680000</v>
      </c>
      <c r="K33" s="11">
        <v>0</v>
      </c>
      <c r="L33" s="10">
        <f t="shared" si="1"/>
        <v>0</v>
      </c>
      <c r="M33" s="10">
        <f t="shared" si="2"/>
        <v>3680000</v>
      </c>
      <c r="N33" s="7" t="s">
        <v>47</v>
      </c>
      <c r="O33" s="7">
        <v>3.5</v>
      </c>
    </row>
    <row r="34" spans="1:15" x14ac:dyDescent="0.25">
      <c r="A34" s="2" t="s">
        <v>105</v>
      </c>
      <c r="B34" s="3">
        <v>45420</v>
      </c>
      <c r="C34" s="4" t="s">
        <v>74</v>
      </c>
      <c r="D34" s="4" t="s">
        <v>106</v>
      </c>
      <c r="E34" s="2" t="s">
        <v>18</v>
      </c>
      <c r="F34" s="2" t="s">
        <v>19</v>
      </c>
      <c r="G34" s="4" t="s">
        <v>52</v>
      </c>
      <c r="H34" s="2">
        <v>7</v>
      </c>
      <c r="I34" s="5">
        <v>801000</v>
      </c>
      <c r="J34" s="5">
        <f t="shared" ref="J34:J65" si="3">H34*I34</f>
        <v>5607000</v>
      </c>
      <c r="K34" s="6">
        <v>0.15</v>
      </c>
      <c r="L34" s="5">
        <f t="shared" ref="L34:L65" si="4">J34*K34</f>
        <v>841050</v>
      </c>
      <c r="M34" s="5">
        <f t="shared" ref="M34:M65" si="5">J34-L34</f>
        <v>4765950</v>
      </c>
      <c r="N34" s="2" t="s">
        <v>33</v>
      </c>
      <c r="O34" s="2">
        <v>4</v>
      </c>
    </row>
    <row r="35" spans="1:15" x14ac:dyDescent="0.25">
      <c r="A35" s="7" t="s">
        <v>107</v>
      </c>
      <c r="B35" s="8">
        <v>45426</v>
      </c>
      <c r="C35" s="9" t="s">
        <v>66</v>
      </c>
      <c r="D35" s="9" t="s">
        <v>67</v>
      </c>
      <c r="E35" s="7" t="s">
        <v>30</v>
      </c>
      <c r="F35" s="7" t="s">
        <v>31</v>
      </c>
      <c r="G35" s="9" t="s">
        <v>32</v>
      </c>
      <c r="H35" s="7">
        <v>1</v>
      </c>
      <c r="I35" s="10">
        <v>850000</v>
      </c>
      <c r="J35" s="10">
        <f t="shared" si="3"/>
        <v>850000</v>
      </c>
      <c r="K35" s="11">
        <v>0.2</v>
      </c>
      <c r="L35" s="10">
        <f t="shared" si="4"/>
        <v>170000</v>
      </c>
      <c r="M35" s="10">
        <f t="shared" si="5"/>
        <v>680000</v>
      </c>
      <c r="N35" s="7" t="s">
        <v>47</v>
      </c>
      <c r="O35" s="7">
        <v>4.3</v>
      </c>
    </row>
    <row r="36" spans="1:15" x14ac:dyDescent="0.25">
      <c r="A36" s="2" t="s">
        <v>108</v>
      </c>
      <c r="B36" s="3">
        <v>45571</v>
      </c>
      <c r="C36" s="4" t="s">
        <v>74</v>
      </c>
      <c r="D36" s="4" t="s">
        <v>109</v>
      </c>
      <c r="E36" s="2" t="s">
        <v>30</v>
      </c>
      <c r="F36" s="2" t="s">
        <v>37</v>
      </c>
      <c r="G36" s="4" t="s">
        <v>72</v>
      </c>
      <c r="H36" s="2">
        <v>1</v>
      </c>
      <c r="I36" s="5">
        <v>197000</v>
      </c>
      <c r="J36" s="5">
        <f t="shared" si="3"/>
        <v>197000</v>
      </c>
      <c r="K36" s="6">
        <v>0</v>
      </c>
      <c r="L36" s="5">
        <f t="shared" si="4"/>
        <v>0</v>
      </c>
      <c r="M36" s="5">
        <f t="shared" si="5"/>
        <v>197000</v>
      </c>
      <c r="N36" s="2" t="s">
        <v>21</v>
      </c>
      <c r="O36" s="2">
        <v>4.8</v>
      </c>
    </row>
    <row r="37" spans="1:15" x14ac:dyDescent="0.25">
      <c r="A37" s="7" t="s">
        <v>110</v>
      </c>
      <c r="B37" s="8">
        <v>45312</v>
      </c>
      <c r="C37" s="9" t="s">
        <v>66</v>
      </c>
      <c r="D37" s="9" t="s">
        <v>111</v>
      </c>
      <c r="E37" s="7" t="s">
        <v>63</v>
      </c>
      <c r="F37" s="7" t="s">
        <v>51</v>
      </c>
      <c r="G37" s="9" t="s">
        <v>68</v>
      </c>
      <c r="H37" s="7">
        <v>5</v>
      </c>
      <c r="I37" s="10">
        <v>238000</v>
      </c>
      <c r="J37" s="10">
        <f t="shared" si="3"/>
        <v>1190000</v>
      </c>
      <c r="K37" s="11">
        <v>0</v>
      </c>
      <c r="L37" s="10">
        <f t="shared" si="4"/>
        <v>0</v>
      </c>
      <c r="M37" s="10">
        <f t="shared" si="5"/>
        <v>1190000</v>
      </c>
      <c r="N37" s="7" t="s">
        <v>33</v>
      </c>
      <c r="O37" s="7">
        <v>4.8</v>
      </c>
    </row>
    <row r="38" spans="1:15" x14ac:dyDescent="0.25">
      <c r="A38" s="2" t="s">
        <v>112</v>
      </c>
      <c r="B38" s="3">
        <v>45371</v>
      </c>
      <c r="C38" s="4" t="s">
        <v>35</v>
      </c>
      <c r="D38" s="4" t="s">
        <v>59</v>
      </c>
      <c r="E38" s="2" t="s">
        <v>55</v>
      </c>
      <c r="F38" s="2" t="s">
        <v>26</v>
      </c>
      <c r="G38" s="4" t="s">
        <v>52</v>
      </c>
      <c r="H38" s="2">
        <v>18</v>
      </c>
      <c r="I38" s="5">
        <v>257000</v>
      </c>
      <c r="J38" s="5">
        <f t="shared" si="3"/>
        <v>4626000</v>
      </c>
      <c r="K38" s="6">
        <v>0.2</v>
      </c>
      <c r="L38" s="5">
        <f t="shared" si="4"/>
        <v>925200</v>
      </c>
      <c r="M38" s="5">
        <f t="shared" si="5"/>
        <v>3700800</v>
      </c>
      <c r="N38" s="2" t="s">
        <v>69</v>
      </c>
      <c r="O38" s="2">
        <v>4.9000000000000004</v>
      </c>
    </row>
    <row r="39" spans="1:15" x14ac:dyDescent="0.25">
      <c r="A39" s="7" t="s">
        <v>113</v>
      </c>
      <c r="B39" s="8">
        <v>45419</v>
      </c>
      <c r="C39" s="9" t="s">
        <v>44</v>
      </c>
      <c r="D39" s="9" t="s">
        <v>77</v>
      </c>
      <c r="E39" s="7" t="s">
        <v>55</v>
      </c>
      <c r="F39" s="7" t="s">
        <v>37</v>
      </c>
      <c r="G39" s="9" t="s">
        <v>32</v>
      </c>
      <c r="H39" s="7">
        <v>6</v>
      </c>
      <c r="I39" s="10">
        <v>747000</v>
      </c>
      <c r="J39" s="10">
        <f t="shared" si="3"/>
        <v>4482000</v>
      </c>
      <c r="K39" s="11">
        <v>0.2</v>
      </c>
      <c r="L39" s="10">
        <f t="shared" si="4"/>
        <v>896400</v>
      </c>
      <c r="M39" s="10">
        <f t="shared" si="5"/>
        <v>3585600</v>
      </c>
      <c r="N39" s="7" t="s">
        <v>69</v>
      </c>
      <c r="O39" s="7">
        <v>4.5999999999999996</v>
      </c>
    </row>
    <row r="40" spans="1:15" x14ac:dyDescent="0.25">
      <c r="A40" s="2" t="s">
        <v>114</v>
      </c>
      <c r="B40" s="3">
        <v>45408</v>
      </c>
      <c r="C40" s="4" t="s">
        <v>49</v>
      </c>
      <c r="D40" s="4" t="s">
        <v>103</v>
      </c>
      <c r="E40" s="2" t="s">
        <v>25</v>
      </c>
      <c r="F40" s="2" t="s">
        <v>37</v>
      </c>
      <c r="G40" s="4" t="s">
        <v>32</v>
      </c>
      <c r="H40" s="2">
        <v>16</v>
      </c>
      <c r="I40" s="5">
        <v>137000</v>
      </c>
      <c r="J40" s="5">
        <f t="shared" si="3"/>
        <v>2192000</v>
      </c>
      <c r="K40" s="6">
        <v>0</v>
      </c>
      <c r="L40" s="5">
        <f t="shared" si="4"/>
        <v>0</v>
      </c>
      <c r="M40" s="5">
        <f t="shared" si="5"/>
        <v>2192000</v>
      </c>
      <c r="N40" s="2" t="s">
        <v>69</v>
      </c>
      <c r="O40" s="2">
        <v>3.7</v>
      </c>
    </row>
    <row r="41" spans="1:15" x14ac:dyDescent="0.25">
      <c r="A41" s="7" t="s">
        <v>115</v>
      </c>
      <c r="B41" s="8">
        <v>45552</v>
      </c>
      <c r="C41" s="9" t="s">
        <v>44</v>
      </c>
      <c r="D41" s="9" t="s">
        <v>116</v>
      </c>
      <c r="E41" s="7" t="s">
        <v>55</v>
      </c>
      <c r="F41" s="7" t="s">
        <v>37</v>
      </c>
      <c r="G41" s="9" t="s">
        <v>52</v>
      </c>
      <c r="H41" s="7">
        <v>9</v>
      </c>
      <c r="I41" s="10">
        <v>196000</v>
      </c>
      <c r="J41" s="10">
        <f t="shared" si="3"/>
        <v>1764000</v>
      </c>
      <c r="K41" s="11">
        <v>0.2</v>
      </c>
      <c r="L41" s="10">
        <f t="shared" si="4"/>
        <v>352800</v>
      </c>
      <c r="M41" s="10">
        <f t="shared" si="5"/>
        <v>1411200</v>
      </c>
      <c r="N41" s="7" t="s">
        <v>33</v>
      </c>
      <c r="O41" s="7">
        <v>3.7</v>
      </c>
    </row>
    <row r="42" spans="1:15" x14ac:dyDescent="0.25">
      <c r="A42" s="2" t="s">
        <v>117</v>
      </c>
      <c r="B42" s="3">
        <v>45427</v>
      </c>
      <c r="C42" s="4" t="s">
        <v>23</v>
      </c>
      <c r="D42" s="4" t="s">
        <v>118</v>
      </c>
      <c r="E42" s="2" t="s">
        <v>63</v>
      </c>
      <c r="F42" s="2" t="s">
        <v>100</v>
      </c>
      <c r="G42" s="4" t="s">
        <v>32</v>
      </c>
      <c r="H42" s="2">
        <v>4</v>
      </c>
      <c r="I42" s="5">
        <v>49000</v>
      </c>
      <c r="J42" s="5">
        <f t="shared" si="3"/>
        <v>196000</v>
      </c>
      <c r="K42" s="6">
        <v>0</v>
      </c>
      <c r="L42" s="5">
        <f t="shared" si="4"/>
        <v>0</v>
      </c>
      <c r="M42" s="5">
        <f t="shared" si="5"/>
        <v>196000</v>
      </c>
      <c r="N42" s="2" t="s">
        <v>39</v>
      </c>
      <c r="O42" s="2">
        <v>4.9000000000000004</v>
      </c>
    </row>
    <row r="43" spans="1:15" x14ac:dyDescent="0.25">
      <c r="A43" s="7" t="s">
        <v>119</v>
      </c>
      <c r="B43" s="8">
        <v>45587</v>
      </c>
      <c r="C43" s="9" t="s">
        <v>66</v>
      </c>
      <c r="D43" s="9" t="s">
        <v>67</v>
      </c>
      <c r="E43" s="7" t="s">
        <v>63</v>
      </c>
      <c r="F43" s="7" t="s">
        <v>37</v>
      </c>
      <c r="G43" s="9" t="s">
        <v>52</v>
      </c>
      <c r="H43" s="7">
        <v>11</v>
      </c>
      <c r="I43" s="10">
        <v>1065000</v>
      </c>
      <c r="J43" s="10">
        <f t="shared" si="3"/>
        <v>11715000</v>
      </c>
      <c r="K43" s="11">
        <v>0.1</v>
      </c>
      <c r="L43" s="10">
        <f t="shared" si="4"/>
        <v>1171500</v>
      </c>
      <c r="M43" s="10">
        <f t="shared" si="5"/>
        <v>10543500</v>
      </c>
      <c r="N43" s="7" t="s">
        <v>39</v>
      </c>
      <c r="O43" s="7">
        <v>3.2</v>
      </c>
    </row>
    <row r="44" spans="1:15" x14ac:dyDescent="0.25">
      <c r="A44" s="2" t="s">
        <v>120</v>
      </c>
      <c r="B44" s="3">
        <v>45635</v>
      </c>
      <c r="C44" s="4" t="s">
        <v>44</v>
      </c>
      <c r="D44" s="4" t="s">
        <v>121</v>
      </c>
      <c r="E44" s="2" t="s">
        <v>25</v>
      </c>
      <c r="F44" s="2" t="s">
        <v>37</v>
      </c>
      <c r="G44" s="4" t="s">
        <v>32</v>
      </c>
      <c r="H44" s="2">
        <v>17</v>
      </c>
      <c r="I44" s="5">
        <v>1179000</v>
      </c>
      <c r="J44" s="5">
        <f t="shared" si="3"/>
        <v>20043000</v>
      </c>
      <c r="K44" s="6">
        <v>0.15</v>
      </c>
      <c r="L44" s="5">
        <f t="shared" si="4"/>
        <v>3006450</v>
      </c>
      <c r="M44" s="5">
        <f t="shared" si="5"/>
        <v>17036550</v>
      </c>
      <c r="N44" s="2" t="s">
        <v>21</v>
      </c>
      <c r="O44" s="2">
        <v>4.9000000000000004</v>
      </c>
    </row>
    <row r="45" spans="1:15" x14ac:dyDescent="0.25">
      <c r="A45" s="7" t="s">
        <v>122</v>
      </c>
      <c r="B45" s="8">
        <v>45445</v>
      </c>
      <c r="C45" s="9" t="s">
        <v>44</v>
      </c>
      <c r="D45" s="9" t="s">
        <v>121</v>
      </c>
      <c r="E45" s="7" t="s">
        <v>30</v>
      </c>
      <c r="F45" s="7" t="s">
        <v>26</v>
      </c>
      <c r="G45" s="9" t="s">
        <v>52</v>
      </c>
      <c r="H45" s="7">
        <v>20</v>
      </c>
      <c r="I45" s="10">
        <v>708000</v>
      </c>
      <c r="J45" s="10">
        <f t="shared" si="3"/>
        <v>14160000</v>
      </c>
      <c r="K45" s="11">
        <v>0.15</v>
      </c>
      <c r="L45" s="10">
        <f t="shared" si="4"/>
        <v>2124000</v>
      </c>
      <c r="M45" s="10">
        <f t="shared" si="5"/>
        <v>12036000</v>
      </c>
      <c r="N45" s="7" t="s">
        <v>27</v>
      </c>
      <c r="O45" s="7">
        <v>4.4000000000000004</v>
      </c>
    </row>
    <row r="46" spans="1:15" x14ac:dyDescent="0.25">
      <c r="A46" s="2" t="s">
        <v>123</v>
      </c>
      <c r="B46" s="3">
        <v>45486</v>
      </c>
      <c r="C46" s="4" t="s">
        <v>49</v>
      </c>
      <c r="D46" s="4" t="s">
        <v>62</v>
      </c>
      <c r="E46" s="2" t="s">
        <v>30</v>
      </c>
      <c r="F46" s="2" t="s">
        <v>100</v>
      </c>
      <c r="G46" s="4" t="s">
        <v>68</v>
      </c>
      <c r="H46" s="2">
        <v>10</v>
      </c>
      <c r="I46" s="5">
        <v>311000</v>
      </c>
      <c r="J46" s="5">
        <f t="shared" si="3"/>
        <v>3110000</v>
      </c>
      <c r="K46" s="6">
        <v>0</v>
      </c>
      <c r="L46" s="5">
        <f t="shared" si="4"/>
        <v>0</v>
      </c>
      <c r="M46" s="5">
        <f t="shared" si="5"/>
        <v>3110000</v>
      </c>
      <c r="N46" s="2" t="s">
        <v>47</v>
      </c>
      <c r="O46" s="2">
        <v>3.8</v>
      </c>
    </row>
    <row r="47" spans="1:15" x14ac:dyDescent="0.25">
      <c r="A47" s="7" t="s">
        <v>124</v>
      </c>
      <c r="B47" s="8">
        <v>45588</v>
      </c>
      <c r="C47" s="9" t="s">
        <v>74</v>
      </c>
      <c r="D47" s="9" t="s">
        <v>125</v>
      </c>
      <c r="E47" s="7" t="s">
        <v>63</v>
      </c>
      <c r="F47" s="7" t="s">
        <v>31</v>
      </c>
      <c r="G47" s="9" t="s">
        <v>68</v>
      </c>
      <c r="H47" s="7">
        <v>18</v>
      </c>
      <c r="I47" s="10">
        <v>80000</v>
      </c>
      <c r="J47" s="10">
        <f t="shared" si="3"/>
        <v>1440000</v>
      </c>
      <c r="K47" s="11">
        <v>0</v>
      </c>
      <c r="L47" s="10">
        <f t="shared" si="4"/>
        <v>0</v>
      </c>
      <c r="M47" s="10">
        <f t="shared" si="5"/>
        <v>1440000</v>
      </c>
      <c r="N47" s="7" t="s">
        <v>33</v>
      </c>
      <c r="O47" s="7">
        <v>3.4</v>
      </c>
    </row>
    <row r="48" spans="1:15" x14ac:dyDescent="0.25">
      <c r="A48" s="2" t="s">
        <v>126</v>
      </c>
      <c r="B48" s="3">
        <v>45335</v>
      </c>
      <c r="C48" s="4" t="s">
        <v>35</v>
      </c>
      <c r="D48" s="4" t="s">
        <v>127</v>
      </c>
      <c r="E48" s="2" t="s">
        <v>30</v>
      </c>
      <c r="F48" s="2" t="s">
        <v>96</v>
      </c>
      <c r="G48" s="4" t="s">
        <v>20</v>
      </c>
      <c r="H48" s="2">
        <v>17</v>
      </c>
      <c r="I48" s="5">
        <v>149000</v>
      </c>
      <c r="J48" s="5">
        <f t="shared" si="3"/>
        <v>2533000</v>
      </c>
      <c r="K48" s="6">
        <v>0.2</v>
      </c>
      <c r="L48" s="5">
        <f t="shared" si="4"/>
        <v>506600</v>
      </c>
      <c r="M48" s="5">
        <f t="shared" si="5"/>
        <v>2026400</v>
      </c>
      <c r="N48" s="2" t="s">
        <v>21</v>
      </c>
      <c r="O48" s="2">
        <v>3.3</v>
      </c>
    </row>
    <row r="49" spans="1:15" x14ac:dyDescent="0.25">
      <c r="A49" s="7" t="s">
        <v>128</v>
      </c>
      <c r="B49" s="8">
        <v>45367</v>
      </c>
      <c r="C49" s="9" t="s">
        <v>49</v>
      </c>
      <c r="D49" s="9" t="s">
        <v>71</v>
      </c>
      <c r="E49" s="7" t="s">
        <v>63</v>
      </c>
      <c r="F49" s="7" t="s">
        <v>100</v>
      </c>
      <c r="G49" s="9" t="s">
        <v>38</v>
      </c>
      <c r="H49" s="7">
        <v>8</v>
      </c>
      <c r="I49" s="10">
        <v>373000</v>
      </c>
      <c r="J49" s="10">
        <f t="shared" si="3"/>
        <v>2984000</v>
      </c>
      <c r="K49" s="11">
        <v>0</v>
      </c>
      <c r="L49" s="10">
        <f t="shared" si="4"/>
        <v>0</v>
      </c>
      <c r="M49" s="10">
        <f t="shared" si="5"/>
        <v>2984000</v>
      </c>
      <c r="N49" s="7" t="s">
        <v>47</v>
      </c>
      <c r="O49" s="7">
        <v>4.5999999999999996</v>
      </c>
    </row>
    <row r="50" spans="1:15" x14ac:dyDescent="0.25">
      <c r="A50" s="2" t="s">
        <v>129</v>
      </c>
      <c r="B50" s="3">
        <v>45648</v>
      </c>
      <c r="C50" s="4" t="s">
        <v>66</v>
      </c>
      <c r="D50" s="4" t="s">
        <v>67</v>
      </c>
      <c r="E50" s="2" t="s">
        <v>55</v>
      </c>
      <c r="F50" s="2" t="s">
        <v>96</v>
      </c>
      <c r="G50" s="4" t="s">
        <v>64</v>
      </c>
      <c r="H50" s="2">
        <v>3</v>
      </c>
      <c r="I50" s="5">
        <v>1105000</v>
      </c>
      <c r="J50" s="5">
        <f t="shared" si="3"/>
        <v>3315000</v>
      </c>
      <c r="K50" s="6">
        <v>0.05</v>
      </c>
      <c r="L50" s="5">
        <f t="shared" si="4"/>
        <v>165750</v>
      </c>
      <c r="M50" s="5">
        <f t="shared" si="5"/>
        <v>3149250</v>
      </c>
      <c r="N50" s="2" t="s">
        <v>21</v>
      </c>
      <c r="O50" s="2">
        <v>4.2</v>
      </c>
    </row>
    <row r="51" spans="1:15" x14ac:dyDescent="0.25">
      <c r="A51" s="7" t="s">
        <v>130</v>
      </c>
      <c r="B51" s="8">
        <v>45404</v>
      </c>
      <c r="C51" s="9" t="s">
        <v>23</v>
      </c>
      <c r="D51" s="9" t="s">
        <v>131</v>
      </c>
      <c r="E51" s="7" t="s">
        <v>30</v>
      </c>
      <c r="F51" s="7" t="s">
        <v>19</v>
      </c>
      <c r="G51" s="9" t="s">
        <v>56</v>
      </c>
      <c r="H51" s="7">
        <v>1</v>
      </c>
      <c r="I51" s="10">
        <v>113000</v>
      </c>
      <c r="J51" s="10">
        <f t="shared" si="3"/>
        <v>113000</v>
      </c>
      <c r="K51" s="11">
        <v>0.2</v>
      </c>
      <c r="L51" s="10">
        <f t="shared" si="4"/>
        <v>22600</v>
      </c>
      <c r="M51" s="10">
        <f t="shared" si="5"/>
        <v>90400</v>
      </c>
      <c r="N51" s="7" t="s">
        <v>27</v>
      </c>
      <c r="O51" s="7">
        <v>4.5999999999999996</v>
      </c>
    </row>
    <row r="52" spans="1:15" x14ac:dyDescent="0.25">
      <c r="A52" s="2" t="s">
        <v>132</v>
      </c>
      <c r="B52" s="3">
        <v>45529</v>
      </c>
      <c r="C52" s="4" t="s">
        <v>74</v>
      </c>
      <c r="D52" s="4" t="s">
        <v>109</v>
      </c>
      <c r="E52" s="2" t="s">
        <v>63</v>
      </c>
      <c r="F52" s="2" t="s">
        <v>96</v>
      </c>
      <c r="G52" s="4" t="s">
        <v>32</v>
      </c>
      <c r="H52" s="2">
        <v>18</v>
      </c>
      <c r="I52" s="5">
        <v>341000</v>
      </c>
      <c r="J52" s="5">
        <f t="shared" si="3"/>
        <v>6138000</v>
      </c>
      <c r="K52" s="6">
        <v>0.2</v>
      </c>
      <c r="L52" s="5">
        <f t="shared" si="4"/>
        <v>1227600</v>
      </c>
      <c r="M52" s="5">
        <f t="shared" si="5"/>
        <v>4910400</v>
      </c>
      <c r="N52" s="2" t="s">
        <v>27</v>
      </c>
      <c r="O52" s="2">
        <v>3.9</v>
      </c>
    </row>
    <row r="53" spans="1:15" x14ac:dyDescent="0.25">
      <c r="A53" s="7" t="s">
        <v>133</v>
      </c>
      <c r="B53" s="8">
        <v>45522</v>
      </c>
      <c r="C53" s="9" t="s">
        <v>35</v>
      </c>
      <c r="D53" s="9" t="s">
        <v>127</v>
      </c>
      <c r="E53" s="7" t="s">
        <v>63</v>
      </c>
      <c r="F53" s="7" t="s">
        <v>37</v>
      </c>
      <c r="G53" s="9" t="s">
        <v>72</v>
      </c>
      <c r="H53" s="7">
        <v>15</v>
      </c>
      <c r="I53" s="10">
        <v>260000</v>
      </c>
      <c r="J53" s="10">
        <f t="shared" si="3"/>
        <v>3900000</v>
      </c>
      <c r="K53" s="11">
        <v>0</v>
      </c>
      <c r="L53" s="10">
        <f t="shared" si="4"/>
        <v>0</v>
      </c>
      <c r="M53" s="10">
        <f t="shared" si="5"/>
        <v>3900000</v>
      </c>
      <c r="N53" s="7" t="s">
        <v>21</v>
      </c>
      <c r="O53" s="7">
        <v>4.7</v>
      </c>
    </row>
    <row r="54" spans="1:15" x14ac:dyDescent="0.25">
      <c r="A54" s="2" t="s">
        <v>134</v>
      </c>
      <c r="B54" s="3">
        <v>45431</v>
      </c>
      <c r="C54" s="4" t="s">
        <v>49</v>
      </c>
      <c r="D54" s="4" t="s">
        <v>103</v>
      </c>
      <c r="E54" s="2" t="s">
        <v>18</v>
      </c>
      <c r="F54" s="2" t="s">
        <v>96</v>
      </c>
      <c r="G54" s="4" t="s">
        <v>20</v>
      </c>
      <c r="H54" s="2">
        <v>9</v>
      </c>
      <c r="I54" s="5">
        <v>251000</v>
      </c>
      <c r="J54" s="5">
        <f t="shared" si="3"/>
        <v>2259000</v>
      </c>
      <c r="K54" s="6">
        <v>0</v>
      </c>
      <c r="L54" s="5">
        <f t="shared" si="4"/>
        <v>0</v>
      </c>
      <c r="M54" s="5">
        <f t="shared" si="5"/>
        <v>2259000</v>
      </c>
      <c r="N54" s="2" t="s">
        <v>21</v>
      </c>
      <c r="O54" s="2">
        <v>3.6</v>
      </c>
    </row>
    <row r="55" spans="1:15" x14ac:dyDescent="0.25">
      <c r="A55" s="7" t="s">
        <v>135</v>
      </c>
      <c r="B55" s="8">
        <v>45401</v>
      </c>
      <c r="C55" s="9" t="s">
        <v>35</v>
      </c>
      <c r="D55" s="9" t="s">
        <v>79</v>
      </c>
      <c r="E55" s="7" t="s">
        <v>63</v>
      </c>
      <c r="F55" s="7" t="s">
        <v>26</v>
      </c>
      <c r="G55" s="9" t="s">
        <v>56</v>
      </c>
      <c r="H55" s="7">
        <v>5</v>
      </c>
      <c r="I55" s="10">
        <v>86000</v>
      </c>
      <c r="J55" s="10">
        <f t="shared" si="3"/>
        <v>430000</v>
      </c>
      <c r="K55" s="11">
        <v>0.05</v>
      </c>
      <c r="L55" s="10">
        <f t="shared" si="4"/>
        <v>21500</v>
      </c>
      <c r="M55" s="10">
        <f t="shared" si="5"/>
        <v>408500</v>
      </c>
      <c r="N55" s="7" t="s">
        <v>21</v>
      </c>
      <c r="O55" s="7">
        <v>3.3</v>
      </c>
    </row>
    <row r="56" spans="1:15" x14ac:dyDescent="0.25">
      <c r="A56" s="2" t="s">
        <v>136</v>
      </c>
      <c r="B56" s="3">
        <v>45491</v>
      </c>
      <c r="C56" s="4" t="s">
        <v>16</v>
      </c>
      <c r="D56" s="4" t="s">
        <v>99</v>
      </c>
      <c r="E56" s="2" t="s">
        <v>30</v>
      </c>
      <c r="F56" s="2" t="s">
        <v>100</v>
      </c>
      <c r="G56" s="4" t="s">
        <v>72</v>
      </c>
      <c r="H56" s="2">
        <v>15</v>
      </c>
      <c r="I56" s="5">
        <v>248000</v>
      </c>
      <c r="J56" s="5">
        <f t="shared" si="3"/>
        <v>3720000</v>
      </c>
      <c r="K56" s="6">
        <v>0</v>
      </c>
      <c r="L56" s="5">
        <f t="shared" si="4"/>
        <v>0</v>
      </c>
      <c r="M56" s="5">
        <f t="shared" si="5"/>
        <v>3720000</v>
      </c>
      <c r="N56" s="2" t="s">
        <v>47</v>
      </c>
      <c r="O56" s="2">
        <v>4.7</v>
      </c>
    </row>
    <row r="57" spans="1:15" x14ac:dyDescent="0.25">
      <c r="A57" s="7" t="s">
        <v>137</v>
      </c>
      <c r="B57" s="8">
        <v>45506</v>
      </c>
      <c r="C57" s="9" t="s">
        <v>66</v>
      </c>
      <c r="D57" s="9" t="s">
        <v>138</v>
      </c>
      <c r="E57" s="7" t="s">
        <v>30</v>
      </c>
      <c r="F57" s="7" t="s">
        <v>96</v>
      </c>
      <c r="G57" s="9" t="s">
        <v>32</v>
      </c>
      <c r="H57" s="7">
        <v>12</v>
      </c>
      <c r="I57" s="10">
        <v>776000</v>
      </c>
      <c r="J57" s="10">
        <f t="shared" si="3"/>
        <v>9312000</v>
      </c>
      <c r="K57" s="11">
        <v>0.2</v>
      </c>
      <c r="L57" s="10">
        <f t="shared" si="4"/>
        <v>1862400</v>
      </c>
      <c r="M57" s="10">
        <f t="shared" si="5"/>
        <v>7449600</v>
      </c>
      <c r="N57" s="7" t="s">
        <v>69</v>
      </c>
      <c r="O57" s="7">
        <v>4.7</v>
      </c>
    </row>
    <row r="58" spans="1:15" x14ac:dyDescent="0.25">
      <c r="A58" s="2" t="s">
        <v>139</v>
      </c>
      <c r="B58" s="3">
        <v>45499</v>
      </c>
      <c r="C58" s="4" t="s">
        <v>44</v>
      </c>
      <c r="D58" s="4" t="s">
        <v>140</v>
      </c>
      <c r="E58" s="2" t="s">
        <v>55</v>
      </c>
      <c r="F58" s="2" t="s">
        <v>31</v>
      </c>
      <c r="G58" s="4" t="s">
        <v>68</v>
      </c>
      <c r="H58" s="2">
        <v>16</v>
      </c>
      <c r="I58" s="5">
        <v>111000</v>
      </c>
      <c r="J58" s="5">
        <f t="shared" si="3"/>
        <v>1776000</v>
      </c>
      <c r="K58" s="6">
        <v>0.05</v>
      </c>
      <c r="L58" s="5">
        <f t="shared" si="4"/>
        <v>88800</v>
      </c>
      <c r="M58" s="5">
        <f t="shared" si="5"/>
        <v>1687200</v>
      </c>
      <c r="N58" s="2" t="s">
        <v>33</v>
      </c>
      <c r="O58" s="2">
        <v>4.3</v>
      </c>
    </row>
    <row r="59" spans="1:15" x14ac:dyDescent="0.25">
      <c r="A59" s="7" t="s">
        <v>141</v>
      </c>
      <c r="B59" s="8">
        <v>45511</v>
      </c>
      <c r="C59" s="9" t="s">
        <v>74</v>
      </c>
      <c r="D59" s="9" t="s">
        <v>75</v>
      </c>
      <c r="E59" s="7" t="s">
        <v>55</v>
      </c>
      <c r="F59" s="7" t="s">
        <v>46</v>
      </c>
      <c r="G59" s="9" t="s">
        <v>68</v>
      </c>
      <c r="H59" s="7">
        <v>19</v>
      </c>
      <c r="I59" s="10">
        <v>672000</v>
      </c>
      <c r="J59" s="10">
        <f t="shared" si="3"/>
        <v>12768000</v>
      </c>
      <c r="K59" s="11">
        <v>0.15</v>
      </c>
      <c r="L59" s="10">
        <f t="shared" si="4"/>
        <v>1915200</v>
      </c>
      <c r="M59" s="10">
        <f t="shared" si="5"/>
        <v>10852800</v>
      </c>
      <c r="N59" s="7" t="s">
        <v>27</v>
      </c>
      <c r="O59" s="7">
        <v>3.2</v>
      </c>
    </row>
    <row r="60" spans="1:15" x14ac:dyDescent="0.25">
      <c r="A60" s="2" t="s">
        <v>142</v>
      </c>
      <c r="B60" s="3">
        <v>45486</v>
      </c>
      <c r="C60" s="4" t="s">
        <v>74</v>
      </c>
      <c r="D60" s="4" t="s">
        <v>75</v>
      </c>
      <c r="E60" s="2" t="s">
        <v>55</v>
      </c>
      <c r="F60" s="2" t="s">
        <v>46</v>
      </c>
      <c r="G60" s="4" t="s">
        <v>82</v>
      </c>
      <c r="H60" s="2">
        <v>13</v>
      </c>
      <c r="I60" s="5">
        <v>423000</v>
      </c>
      <c r="J60" s="5">
        <f t="shared" si="3"/>
        <v>5499000</v>
      </c>
      <c r="K60" s="6">
        <v>0</v>
      </c>
      <c r="L60" s="5">
        <f t="shared" si="4"/>
        <v>0</v>
      </c>
      <c r="M60" s="5">
        <f t="shared" si="5"/>
        <v>5499000</v>
      </c>
      <c r="N60" s="2" t="s">
        <v>69</v>
      </c>
      <c r="O60" s="2">
        <v>3.7</v>
      </c>
    </row>
    <row r="61" spans="1:15" x14ac:dyDescent="0.25">
      <c r="A61" s="7" t="s">
        <v>143</v>
      </c>
      <c r="B61" s="8">
        <v>45471</v>
      </c>
      <c r="C61" s="9" t="s">
        <v>49</v>
      </c>
      <c r="D61" s="9" t="s">
        <v>50</v>
      </c>
      <c r="E61" s="7" t="s">
        <v>18</v>
      </c>
      <c r="F61" s="7" t="s">
        <v>26</v>
      </c>
      <c r="G61" s="9" t="s">
        <v>60</v>
      </c>
      <c r="H61" s="7">
        <v>1</v>
      </c>
      <c r="I61" s="10">
        <v>413000</v>
      </c>
      <c r="J61" s="10">
        <f t="shared" si="3"/>
        <v>413000</v>
      </c>
      <c r="K61" s="11">
        <v>0.1</v>
      </c>
      <c r="L61" s="10">
        <f t="shared" si="4"/>
        <v>41300</v>
      </c>
      <c r="M61" s="10">
        <f t="shared" si="5"/>
        <v>371700</v>
      </c>
      <c r="N61" s="7" t="s">
        <v>27</v>
      </c>
      <c r="O61" s="7">
        <v>5</v>
      </c>
    </row>
    <row r="62" spans="1:15" x14ac:dyDescent="0.25">
      <c r="A62" s="2" t="s">
        <v>144</v>
      </c>
      <c r="B62" s="3">
        <v>45414</v>
      </c>
      <c r="C62" s="4" t="s">
        <v>44</v>
      </c>
      <c r="D62" s="4" t="s">
        <v>45</v>
      </c>
      <c r="E62" s="2" t="s">
        <v>25</v>
      </c>
      <c r="F62" s="2" t="s">
        <v>46</v>
      </c>
      <c r="G62" s="4" t="s">
        <v>32</v>
      </c>
      <c r="H62" s="2">
        <v>8</v>
      </c>
      <c r="I62" s="5">
        <v>468000</v>
      </c>
      <c r="J62" s="5">
        <f t="shared" si="3"/>
        <v>3744000</v>
      </c>
      <c r="K62" s="6">
        <v>0.2</v>
      </c>
      <c r="L62" s="5">
        <f t="shared" si="4"/>
        <v>748800</v>
      </c>
      <c r="M62" s="5">
        <f t="shared" si="5"/>
        <v>2995200</v>
      </c>
      <c r="N62" s="2" t="s">
        <v>27</v>
      </c>
      <c r="O62" s="2">
        <v>4.2</v>
      </c>
    </row>
    <row r="63" spans="1:15" x14ac:dyDescent="0.25">
      <c r="A63" s="7" t="s">
        <v>145</v>
      </c>
      <c r="B63" s="8">
        <v>45350</v>
      </c>
      <c r="C63" s="9" t="s">
        <v>74</v>
      </c>
      <c r="D63" s="9" t="s">
        <v>75</v>
      </c>
      <c r="E63" s="7" t="s">
        <v>25</v>
      </c>
      <c r="F63" s="7" t="s">
        <v>19</v>
      </c>
      <c r="G63" s="9" t="s">
        <v>60</v>
      </c>
      <c r="H63" s="7">
        <v>9</v>
      </c>
      <c r="I63" s="10">
        <v>884000</v>
      </c>
      <c r="J63" s="10">
        <f t="shared" si="3"/>
        <v>7956000</v>
      </c>
      <c r="K63" s="11">
        <v>0</v>
      </c>
      <c r="L63" s="10">
        <f t="shared" si="4"/>
        <v>0</v>
      </c>
      <c r="M63" s="10">
        <f t="shared" si="5"/>
        <v>7956000</v>
      </c>
      <c r="N63" s="7" t="s">
        <v>47</v>
      </c>
      <c r="O63" s="7">
        <v>4.2</v>
      </c>
    </row>
    <row r="64" spans="1:15" x14ac:dyDescent="0.25">
      <c r="A64" s="2" t="s">
        <v>146</v>
      </c>
      <c r="B64" s="3">
        <v>45393</v>
      </c>
      <c r="C64" s="4" t="s">
        <v>74</v>
      </c>
      <c r="D64" s="4" t="s">
        <v>106</v>
      </c>
      <c r="E64" s="2" t="s">
        <v>25</v>
      </c>
      <c r="F64" s="2" t="s">
        <v>46</v>
      </c>
      <c r="G64" s="4" t="s">
        <v>82</v>
      </c>
      <c r="H64" s="2">
        <v>19</v>
      </c>
      <c r="I64" s="5">
        <v>790000</v>
      </c>
      <c r="J64" s="5">
        <f t="shared" si="3"/>
        <v>15010000</v>
      </c>
      <c r="K64" s="6">
        <v>0.05</v>
      </c>
      <c r="L64" s="5">
        <f t="shared" si="4"/>
        <v>750500</v>
      </c>
      <c r="M64" s="5">
        <f t="shared" si="5"/>
        <v>14259500</v>
      </c>
      <c r="N64" s="2" t="s">
        <v>69</v>
      </c>
      <c r="O64" s="2">
        <v>4.9000000000000004</v>
      </c>
    </row>
    <row r="65" spans="1:15" x14ac:dyDescent="0.25">
      <c r="A65" s="7" t="s">
        <v>147</v>
      </c>
      <c r="B65" s="8">
        <v>45469</v>
      </c>
      <c r="C65" s="9" t="s">
        <v>16</v>
      </c>
      <c r="D65" s="9" t="s">
        <v>54</v>
      </c>
      <c r="E65" s="7" t="s">
        <v>55</v>
      </c>
      <c r="F65" s="7" t="s">
        <v>26</v>
      </c>
      <c r="G65" s="9" t="s">
        <v>82</v>
      </c>
      <c r="H65" s="7">
        <v>20</v>
      </c>
      <c r="I65" s="10">
        <v>93000</v>
      </c>
      <c r="J65" s="10">
        <f t="shared" si="3"/>
        <v>1860000</v>
      </c>
      <c r="K65" s="11">
        <v>0.2</v>
      </c>
      <c r="L65" s="10">
        <f t="shared" si="4"/>
        <v>372000</v>
      </c>
      <c r="M65" s="10">
        <f t="shared" si="5"/>
        <v>1488000</v>
      </c>
      <c r="N65" s="7" t="s">
        <v>39</v>
      </c>
      <c r="O65" s="7">
        <v>4.5999999999999996</v>
      </c>
    </row>
    <row r="66" spans="1:15" x14ac:dyDescent="0.25">
      <c r="A66" s="2" t="s">
        <v>148</v>
      </c>
      <c r="B66" s="3">
        <v>45346</v>
      </c>
      <c r="C66" s="4" t="s">
        <v>23</v>
      </c>
      <c r="D66" s="4" t="s">
        <v>118</v>
      </c>
      <c r="E66" s="2" t="s">
        <v>18</v>
      </c>
      <c r="F66" s="2" t="s">
        <v>26</v>
      </c>
      <c r="G66" s="4" t="s">
        <v>72</v>
      </c>
      <c r="H66" s="2">
        <v>11</v>
      </c>
      <c r="I66" s="5">
        <v>17000</v>
      </c>
      <c r="J66" s="5">
        <f t="shared" ref="J66:J97" si="6">H66*I66</f>
        <v>187000</v>
      </c>
      <c r="K66" s="6">
        <v>0.2</v>
      </c>
      <c r="L66" s="5">
        <f t="shared" ref="L66:L97" si="7">J66*K66</f>
        <v>37400</v>
      </c>
      <c r="M66" s="5">
        <f t="shared" ref="M66:M97" si="8">J66-L66</f>
        <v>149600</v>
      </c>
      <c r="N66" s="2" t="s">
        <v>69</v>
      </c>
      <c r="O66" s="2">
        <v>4.5999999999999996</v>
      </c>
    </row>
    <row r="67" spans="1:15" x14ac:dyDescent="0.25">
      <c r="A67" s="7" t="s">
        <v>149</v>
      </c>
      <c r="B67" s="8">
        <v>45567</v>
      </c>
      <c r="C67" s="9" t="s">
        <v>23</v>
      </c>
      <c r="D67" s="9" t="s">
        <v>150</v>
      </c>
      <c r="E67" s="7" t="s">
        <v>30</v>
      </c>
      <c r="F67" s="7" t="s">
        <v>51</v>
      </c>
      <c r="G67" s="9" t="s">
        <v>68</v>
      </c>
      <c r="H67" s="7">
        <v>6</v>
      </c>
      <c r="I67" s="10">
        <v>111000</v>
      </c>
      <c r="J67" s="10">
        <f t="shared" si="6"/>
        <v>666000</v>
      </c>
      <c r="K67" s="11">
        <v>0.1</v>
      </c>
      <c r="L67" s="10">
        <f t="shared" si="7"/>
        <v>66600</v>
      </c>
      <c r="M67" s="10">
        <f t="shared" si="8"/>
        <v>599400</v>
      </c>
      <c r="N67" s="7" t="s">
        <v>21</v>
      </c>
      <c r="O67" s="7">
        <v>3.5</v>
      </c>
    </row>
    <row r="68" spans="1:15" x14ac:dyDescent="0.25">
      <c r="A68" s="2" t="s">
        <v>151</v>
      </c>
      <c r="B68" s="3">
        <v>45529</v>
      </c>
      <c r="C68" s="4" t="s">
        <v>41</v>
      </c>
      <c r="D68" s="4" t="s">
        <v>152</v>
      </c>
      <c r="E68" s="2" t="s">
        <v>30</v>
      </c>
      <c r="F68" s="2" t="s">
        <v>31</v>
      </c>
      <c r="G68" s="4" t="s">
        <v>52</v>
      </c>
      <c r="H68" s="2">
        <v>8</v>
      </c>
      <c r="I68" s="5">
        <v>23000</v>
      </c>
      <c r="J68" s="5">
        <f t="shared" si="6"/>
        <v>184000</v>
      </c>
      <c r="K68" s="6">
        <v>0</v>
      </c>
      <c r="L68" s="5">
        <f t="shared" si="7"/>
        <v>0</v>
      </c>
      <c r="M68" s="5">
        <f t="shared" si="8"/>
        <v>184000</v>
      </c>
      <c r="N68" s="2" t="s">
        <v>69</v>
      </c>
      <c r="O68" s="2">
        <v>3.5</v>
      </c>
    </row>
    <row r="69" spans="1:15" x14ac:dyDescent="0.25">
      <c r="A69" s="7" t="s">
        <v>153</v>
      </c>
      <c r="B69" s="8">
        <v>45466</v>
      </c>
      <c r="C69" s="9" t="s">
        <v>23</v>
      </c>
      <c r="D69" s="9" t="s">
        <v>150</v>
      </c>
      <c r="E69" s="7" t="s">
        <v>25</v>
      </c>
      <c r="F69" s="7" t="s">
        <v>96</v>
      </c>
      <c r="G69" s="9" t="s">
        <v>52</v>
      </c>
      <c r="H69" s="7">
        <v>6</v>
      </c>
      <c r="I69" s="10">
        <v>79000</v>
      </c>
      <c r="J69" s="10">
        <f t="shared" si="6"/>
        <v>474000</v>
      </c>
      <c r="K69" s="11">
        <v>0</v>
      </c>
      <c r="L69" s="10">
        <f t="shared" si="7"/>
        <v>0</v>
      </c>
      <c r="M69" s="10">
        <f t="shared" si="8"/>
        <v>474000</v>
      </c>
      <c r="N69" s="7" t="s">
        <v>33</v>
      </c>
      <c r="O69" s="7">
        <v>4.5999999999999996</v>
      </c>
    </row>
    <row r="70" spans="1:15" x14ac:dyDescent="0.25">
      <c r="A70" s="2" t="s">
        <v>154</v>
      </c>
      <c r="B70" s="3">
        <v>45576</v>
      </c>
      <c r="C70" s="4" t="s">
        <v>49</v>
      </c>
      <c r="D70" s="4" t="s">
        <v>71</v>
      </c>
      <c r="E70" s="2" t="s">
        <v>18</v>
      </c>
      <c r="F70" s="2" t="s">
        <v>46</v>
      </c>
      <c r="G70" s="4" t="s">
        <v>72</v>
      </c>
      <c r="H70" s="2">
        <v>7</v>
      </c>
      <c r="I70" s="5">
        <v>65000</v>
      </c>
      <c r="J70" s="5">
        <f t="shared" si="6"/>
        <v>455000</v>
      </c>
      <c r="K70" s="6">
        <v>0</v>
      </c>
      <c r="L70" s="5">
        <f t="shared" si="7"/>
        <v>0</v>
      </c>
      <c r="M70" s="5">
        <f t="shared" si="8"/>
        <v>455000</v>
      </c>
      <c r="N70" s="2" t="s">
        <v>21</v>
      </c>
      <c r="O70" s="2">
        <v>3.8</v>
      </c>
    </row>
    <row r="71" spans="1:15" x14ac:dyDescent="0.25">
      <c r="A71" s="7" t="s">
        <v>155</v>
      </c>
      <c r="B71" s="8">
        <v>45416</v>
      </c>
      <c r="C71" s="9" t="s">
        <v>44</v>
      </c>
      <c r="D71" s="9" t="s">
        <v>45</v>
      </c>
      <c r="E71" s="7" t="s">
        <v>30</v>
      </c>
      <c r="F71" s="7" t="s">
        <v>96</v>
      </c>
      <c r="G71" s="9" t="s">
        <v>60</v>
      </c>
      <c r="H71" s="7">
        <v>1</v>
      </c>
      <c r="I71" s="10">
        <v>245000</v>
      </c>
      <c r="J71" s="10">
        <f t="shared" si="6"/>
        <v>245000</v>
      </c>
      <c r="K71" s="11">
        <v>0</v>
      </c>
      <c r="L71" s="10">
        <f t="shared" si="7"/>
        <v>0</v>
      </c>
      <c r="M71" s="10">
        <f t="shared" si="8"/>
        <v>245000</v>
      </c>
      <c r="N71" s="7" t="s">
        <v>47</v>
      </c>
      <c r="O71" s="7">
        <v>3.8</v>
      </c>
    </row>
    <row r="72" spans="1:15" x14ac:dyDescent="0.25">
      <c r="A72" s="2" t="s">
        <v>156</v>
      </c>
      <c r="B72" s="3">
        <v>45573</v>
      </c>
      <c r="C72" s="4" t="s">
        <v>49</v>
      </c>
      <c r="D72" s="4" t="s">
        <v>62</v>
      </c>
      <c r="E72" s="2" t="s">
        <v>63</v>
      </c>
      <c r="F72" s="2" t="s">
        <v>100</v>
      </c>
      <c r="G72" s="4" t="s">
        <v>60</v>
      </c>
      <c r="H72" s="2">
        <v>18</v>
      </c>
      <c r="I72" s="5">
        <v>298000</v>
      </c>
      <c r="J72" s="5">
        <f t="shared" si="6"/>
        <v>5364000</v>
      </c>
      <c r="K72" s="6">
        <v>0</v>
      </c>
      <c r="L72" s="5">
        <f t="shared" si="7"/>
        <v>0</v>
      </c>
      <c r="M72" s="5">
        <f t="shared" si="8"/>
        <v>5364000</v>
      </c>
      <c r="N72" s="2" t="s">
        <v>69</v>
      </c>
      <c r="O72" s="2">
        <v>5</v>
      </c>
    </row>
    <row r="73" spans="1:15" x14ac:dyDescent="0.25">
      <c r="A73" s="7" t="s">
        <v>157</v>
      </c>
      <c r="B73" s="8">
        <v>45353</v>
      </c>
      <c r="C73" s="9" t="s">
        <v>35</v>
      </c>
      <c r="D73" s="9" t="s">
        <v>79</v>
      </c>
      <c r="E73" s="7" t="s">
        <v>30</v>
      </c>
      <c r="F73" s="7" t="s">
        <v>31</v>
      </c>
      <c r="G73" s="9" t="s">
        <v>82</v>
      </c>
      <c r="H73" s="7">
        <v>9</v>
      </c>
      <c r="I73" s="10">
        <v>85000</v>
      </c>
      <c r="J73" s="10">
        <f t="shared" si="6"/>
        <v>765000</v>
      </c>
      <c r="K73" s="11">
        <v>0</v>
      </c>
      <c r="L73" s="10">
        <f t="shared" si="7"/>
        <v>0</v>
      </c>
      <c r="M73" s="10">
        <f t="shared" si="8"/>
        <v>765000</v>
      </c>
      <c r="N73" s="7" t="s">
        <v>21</v>
      </c>
      <c r="O73" s="7">
        <v>3.4</v>
      </c>
    </row>
    <row r="74" spans="1:15" x14ac:dyDescent="0.25">
      <c r="A74" s="2" t="s">
        <v>158</v>
      </c>
      <c r="B74" s="3">
        <v>45343</v>
      </c>
      <c r="C74" s="4" t="s">
        <v>74</v>
      </c>
      <c r="D74" s="4" t="s">
        <v>81</v>
      </c>
      <c r="E74" s="2" t="s">
        <v>55</v>
      </c>
      <c r="F74" s="2" t="s">
        <v>96</v>
      </c>
      <c r="G74" s="4" t="s">
        <v>82</v>
      </c>
      <c r="H74" s="2">
        <v>19</v>
      </c>
      <c r="I74" s="5">
        <v>877000</v>
      </c>
      <c r="J74" s="5">
        <f t="shared" si="6"/>
        <v>16663000</v>
      </c>
      <c r="K74" s="6">
        <v>0.1</v>
      </c>
      <c r="L74" s="5">
        <f t="shared" si="7"/>
        <v>1666300</v>
      </c>
      <c r="M74" s="5">
        <f t="shared" si="8"/>
        <v>14996700</v>
      </c>
      <c r="N74" s="2" t="s">
        <v>39</v>
      </c>
      <c r="O74" s="2">
        <v>3.6</v>
      </c>
    </row>
    <row r="75" spans="1:15" x14ac:dyDescent="0.25">
      <c r="A75" s="7" t="s">
        <v>159</v>
      </c>
      <c r="B75" s="8">
        <v>45315</v>
      </c>
      <c r="C75" s="9" t="s">
        <v>44</v>
      </c>
      <c r="D75" s="9" t="s">
        <v>121</v>
      </c>
      <c r="E75" s="7" t="s">
        <v>55</v>
      </c>
      <c r="F75" s="7" t="s">
        <v>100</v>
      </c>
      <c r="G75" s="9" t="s">
        <v>56</v>
      </c>
      <c r="H75" s="7">
        <v>10</v>
      </c>
      <c r="I75" s="10">
        <v>80000</v>
      </c>
      <c r="J75" s="10">
        <f t="shared" si="6"/>
        <v>800000</v>
      </c>
      <c r="K75" s="11">
        <v>0.15</v>
      </c>
      <c r="L75" s="10">
        <f t="shared" si="7"/>
        <v>120000</v>
      </c>
      <c r="M75" s="10">
        <f t="shared" si="8"/>
        <v>680000</v>
      </c>
      <c r="N75" s="7" t="s">
        <v>39</v>
      </c>
      <c r="O75" s="7">
        <v>3.3</v>
      </c>
    </row>
    <row r="76" spans="1:15" x14ac:dyDescent="0.25">
      <c r="A76" s="2" t="s">
        <v>160</v>
      </c>
      <c r="B76" s="3">
        <v>45517</v>
      </c>
      <c r="C76" s="4" t="s">
        <v>66</v>
      </c>
      <c r="D76" s="4" t="s">
        <v>138</v>
      </c>
      <c r="E76" s="2" t="s">
        <v>18</v>
      </c>
      <c r="F76" s="2" t="s">
        <v>51</v>
      </c>
      <c r="G76" s="4" t="s">
        <v>60</v>
      </c>
      <c r="H76" s="2">
        <v>4</v>
      </c>
      <c r="I76" s="5">
        <v>176000</v>
      </c>
      <c r="J76" s="5">
        <f t="shared" si="6"/>
        <v>704000</v>
      </c>
      <c r="K76" s="6">
        <v>0.1</v>
      </c>
      <c r="L76" s="5">
        <f t="shared" si="7"/>
        <v>70400</v>
      </c>
      <c r="M76" s="5">
        <f t="shared" si="8"/>
        <v>633600</v>
      </c>
      <c r="N76" s="2" t="s">
        <v>33</v>
      </c>
      <c r="O76" s="2">
        <v>3.9</v>
      </c>
    </row>
    <row r="77" spans="1:15" x14ac:dyDescent="0.25">
      <c r="A77" s="7" t="s">
        <v>161</v>
      </c>
      <c r="B77" s="8">
        <v>45587</v>
      </c>
      <c r="C77" s="9" t="s">
        <v>35</v>
      </c>
      <c r="D77" s="9" t="s">
        <v>59</v>
      </c>
      <c r="E77" s="7" t="s">
        <v>25</v>
      </c>
      <c r="F77" s="7" t="s">
        <v>31</v>
      </c>
      <c r="G77" s="9" t="s">
        <v>60</v>
      </c>
      <c r="H77" s="7">
        <v>4</v>
      </c>
      <c r="I77" s="10">
        <v>241000</v>
      </c>
      <c r="J77" s="10">
        <f t="shared" si="6"/>
        <v>964000</v>
      </c>
      <c r="K77" s="11">
        <v>0</v>
      </c>
      <c r="L77" s="10">
        <f t="shared" si="7"/>
        <v>0</v>
      </c>
      <c r="M77" s="10">
        <f t="shared" si="8"/>
        <v>964000</v>
      </c>
      <c r="N77" s="7" t="s">
        <v>69</v>
      </c>
      <c r="O77" s="7">
        <v>4</v>
      </c>
    </row>
    <row r="78" spans="1:15" x14ac:dyDescent="0.25">
      <c r="A78" s="2" t="s">
        <v>162</v>
      </c>
      <c r="B78" s="3">
        <v>45608</v>
      </c>
      <c r="C78" s="4" t="s">
        <v>66</v>
      </c>
      <c r="D78" s="4" t="s">
        <v>93</v>
      </c>
      <c r="E78" s="2" t="s">
        <v>55</v>
      </c>
      <c r="F78" s="2" t="s">
        <v>31</v>
      </c>
      <c r="G78" s="4" t="s">
        <v>38</v>
      </c>
      <c r="H78" s="2">
        <v>8</v>
      </c>
      <c r="I78" s="5">
        <v>398000</v>
      </c>
      <c r="J78" s="5">
        <f t="shared" si="6"/>
        <v>3184000</v>
      </c>
      <c r="K78" s="6">
        <v>0.1</v>
      </c>
      <c r="L78" s="5">
        <f t="shared" si="7"/>
        <v>318400</v>
      </c>
      <c r="M78" s="5">
        <f t="shared" si="8"/>
        <v>2865600</v>
      </c>
      <c r="N78" s="2" t="s">
        <v>69</v>
      </c>
      <c r="O78" s="2">
        <v>4.2</v>
      </c>
    </row>
    <row r="79" spans="1:15" x14ac:dyDescent="0.25">
      <c r="A79" s="7" t="s">
        <v>163</v>
      </c>
      <c r="B79" s="8">
        <v>45604</v>
      </c>
      <c r="C79" s="9" t="s">
        <v>44</v>
      </c>
      <c r="D79" s="9" t="s">
        <v>164</v>
      </c>
      <c r="E79" s="7" t="s">
        <v>30</v>
      </c>
      <c r="F79" s="7" t="s">
        <v>96</v>
      </c>
      <c r="G79" s="9" t="s">
        <v>60</v>
      </c>
      <c r="H79" s="7">
        <v>10</v>
      </c>
      <c r="I79" s="10">
        <v>949000</v>
      </c>
      <c r="J79" s="10">
        <f t="shared" si="6"/>
        <v>9490000</v>
      </c>
      <c r="K79" s="11">
        <v>0</v>
      </c>
      <c r="L79" s="10">
        <f t="shared" si="7"/>
        <v>0</v>
      </c>
      <c r="M79" s="10">
        <f t="shared" si="8"/>
        <v>9490000</v>
      </c>
      <c r="N79" s="7" t="s">
        <v>39</v>
      </c>
      <c r="O79" s="7">
        <v>4.2</v>
      </c>
    </row>
    <row r="80" spans="1:15" x14ac:dyDescent="0.25">
      <c r="A80" s="2" t="s">
        <v>165</v>
      </c>
      <c r="B80" s="3">
        <v>45293</v>
      </c>
      <c r="C80" s="4" t="s">
        <v>16</v>
      </c>
      <c r="D80" s="4" t="s">
        <v>166</v>
      </c>
      <c r="E80" s="2" t="s">
        <v>55</v>
      </c>
      <c r="F80" s="2" t="s">
        <v>31</v>
      </c>
      <c r="G80" s="4" t="s">
        <v>38</v>
      </c>
      <c r="H80" s="2">
        <v>6</v>
      </c>
      <c r="I80" s="5">
        <v>156000</v>
      </c>
      <c r="J80" s="5">
        <f t="shared" si="6"/>
        <v>936000</v>
      </c>
      <c r="K80" s="6">
        <v>0</v>
      </c>
      <c r="L80" s="5">
        <f t="shared" si="7"/>
        <v>0</v>
      </c>
      <c r="M80" s="5">
        <f t="shared" si="8"/>
        <v>936000</v>
      </c>
      <c r="N80" s="2" t="s">
        <v>39</v>
      </c>
      <c r="O80" s="2">
        <v>3.2</v>
      </c>
    </row>
    <row r="81" spans="1:15" x14ac:dyDescent="0.25">
      <c r="A81" s="7" t="s">
        <v>167</v>
      </c>
      <c r="B81" s="8">
        <v>45524</v>
      </c>
      <c r="C81" s="9" t="s">
        <v>23</v>
      </c>
      <c r="D81" s="9" t="s">
        <v>131</v>
      </c>
      <c r="E81" s="7" t="s">
        <v>63</v>
      </c>
      <c r="F81" s="7" t="s">
        <v>96</v>
      </c>
      <c r="G81" s="9" t="s">
        <v>82</v>
      </c>
      <c r="H81" s="7">
        <v>2</v>
      </c>
      <c r="I81" s="10">
        <v>45000</v>
      </c>
      <c r="J81" s="10">
        <f t="shared" si="6"/>
        <v>90000</v>
      </c>
      <c r="K81" s="11">
        <v>0</v>
      </c>
      <c r="L81" s="10">
        <f t="shared" si="7"/>
        <v>0</v>
      </c>
      <c r="M81" s="10">
        <f t="shared" si="8"/>
        <v>90000</v>
      </c>
      <c r="N81" s="7" t="s">
        <v>21</v>
      </c>
      <c r="O81" s="7">
        <v>3.6</v>
      </c>
    </row>
    <row r="82" spans="1:15" x14ac:dyDescent="0.25">
      <c r="A82" s="2" t="s">
        <v>168</v>
      </c>
      <c r="B82" s="3">
        <v>45368</v>
      </c>
      <c r="C82" s="4" t="s">
        <v>16</v>
      </c>
      <c r="D82" s="4" t="s">
        <v>169</v>
      </c>
      <c r="E82" s="2" t="s">
        <v>55</v>
      </c>
      <c r="F82" s="2" t="s">
        <v>31</v>
      </c>
      <c r="G82" s="4" t="s">
        <v>64</v>
      </c>
      <c r="H82" s="2">
        <v>7</v>
      </c>
      <c r="I82" s="5">
        <v>253000</v>
      </c>
      <c r="J82" s="5">
        <f t="shared" si="6"/>
        <v>1771000</v>
      </c>
      <c r="K82" s="6">
        <v>0</v>
      </c>
      <c r="L82" s="5">
        <f t="shared" si="7"/>
        <v>0</v>
      </c>
      <c r="M82" s="5">
        <f t="shared" si="8"/>
        <v>1771000</v>
      </c>
      <c r="N82" s="2" t="s">
        <v>39</v>
      </c>
      <c r="O82" s="2">
        <v>3.4</v>
      </c>
    </row>
    <row r="83" spans="1:15" x14ac:dyDescent="0.25">
      <c r="A83" s="7" t="s">
        <v>170</v>
      </c>
      <c r="B83" s="8">
        <v>45516</v>
      </c>
      <c r="C83" s="9" t="s">
        <v>49</v>
      </c>
      <c r="D83" s="9" t="s">
        <v>103</v>
      </c>
      <c r="E83" s="7" t="s">
        <v>25</v>
      </c>
      <c r="F83" s="7" t="s">
        <v>46</v>
      </c>
      <c r="G83" s="9" t="s">
        <v>56</v>
      </c>
      <c r="H83" s="7">
        <v>10</v>
      </c>
      <c r="I83" s="10">
        <v>332000</v>
      </c>
      <c r="J83" s="10">
        <f t="shared" si="6"/>
        <v>3320000</v>
      </c>
      <c r="K83" s="11">
        <v>0.15</v>
      </c>
      <c r="L83" s="10">
        <f t="shared" si="7"/>
        <v>498000</v>
      </c>
      <c r="M83" s="10">
        <f t="shared" si="8"/>
        <v>2822000</v>
      </c>
      <c r="N83" s="7" t="s">
        <v>39</v>
      </c>
      <c r="O83" s="7">
        <v>4.8</v>
      </c>
    </row>
    <row r="84" spans="1:15" x14ac:dyDescent="0.25">
      <c r="A84" s="2" t="s">
        <v>171</v>
      </c>
      <c r="B84" s="3">
        <v>45312</v>
      </c>
      <c r="C84" s="4" t="s">
        <v>16</v>
      </c>
      <c r="D84" s="4" t="s">
        <v>99</v>
      </c>
      <c r="E84" s="2" t="s">
        <v>18</v>
      </c>
      <c r="F84" s="2" t="s">
        <v>37</v>
      </c>
      <c r="G84" s="4" t="s">
        <v>82</v>
      </c>
      <c r="H84" s="2">
        <v>17</v>
      </c>
      <c r="I84" s="5">
        <v>313000</v>
      </c>
      <c r="J84" s="5">
        <f t="shared" si="6"/>
        <v>5321000</v>
      </c>
      <c r="K84" s="6">
        <v>0.05</v>
      </c>
      <c r="L84" s="5">
        <f t="shared" si="7"/>
        <v>266050</v>
      </c>
      <c r="M84" s="5">
        <f t="shared" si="8"/>
        <v>5054950</v>
      </c>
      <c r="N84" s="2" t="s">
        <v>69</v>
      </c>
      <c r="O84" s="2">
        <v>3.2</v>
      </c>
    </row>
    <row r="85" spans="1:15" x14ac:dyDescent="0.25">
      <c r="A85" s="7" t="s">
        <v>172</v>
      </c>
      <c r="B85" s="8">
        <v>45302</v>
      </c>
      <c r="C85" s="9" t="s">
        <v>23</v>
      </c>
      <c r="D85" s="9" t="s">
        <v>118</v>
      </c>
      <c r="E85" s="7" t="s">
        <v>18</v>
      </c>
      <c r="F85" s="7" t="s">
        <v>31</v>
      </c>
      <c r="G85" s="9" t="s">
        <v>32</v>
      </c>
      <c r="H85" s="7">
        <v>3</v>
      </c>
      <c r="I85" s="10">
        <v>45000</v>
      </c>
      <c r="J85" s="10">
        <f t="shared" si="6"/>
        <v>135000</v>
      </c>
      <c r="K85" s="11">
        <v>0.15</v>
      </c>
      <c r="L85" s="10">
        <f t="shared" si="7"/>
        <v>20250</v>
      </c>
      <c r="M85" s="10">
        <f t="shared" si="8"/>
        <v>114750</v>
      </c>
      <c r="N85" s="7" t="s">
        <v>39</v>
      </c>
      <c r="O85" s="7">
        <v>4.2</v>
      </c>
    </row>
    <row r="86" spans="1:15" x14ac:dyDescent="0.25">
      <c r="A86" s="2" t="s">
        <v>173</v>
      </c>
      <c r="B86" s="3">
        <v>45591</v>
      </c>
      <c r="C86" s="4" t="s">
        <v>49</v>
      </c>
      <c r="D86" s="4" t="s">
        <v>71</v>
      </c>
      <c r="E86" s="2" t="s">
        <v>25</v>
      </c>
      <c r="F86" s="2" t="s">
        <v>51</v>
      </c>
      <c r="G86" s="4" t="s">
        <v>60</v>
      </c>
      <c r="H86" s="2">
        <v>17</v>
      </c>
      <c r="I86" s="5">
        <v>362000</v>
      </c>
      <c r="J86" s="5">
        <f t="shared" si="6"/>
        <v>6154000</v>
      </c>
      <c r="K86" s="6">
        <v>0.05</v>
      </c>
      <c r="L86" s="5">
        <f t="shared" si="7"/>
        <v>307700</v>
      </c>
      <c r="M86" s="5">
        <f t="shared" si="8"/>
        <v>5846300</v>
      </c>
      <c r="N86" s="2" t="s">
        <v>33</v>
      </c>
      <c r="O86" s="2">
        <v>3.4</v>
      </c>
    </row>
    <row r="87" spans="1:15" x14ac:dyDescent="0.25">
      <c r="A87" s="7" t="s">
        <v>174</v>
      </c>
      <c r="B87" s="8">
        <v>45374</v>
      </c>
      <c r="C87" s="9" t="s">
        <v>23</v>
      </c>
      <c r="D87" s="9" t="s">
        <v>118</v>
      </c>
      <c r="E87" s="7" t="s">
        <v>30</v>
      </c>
      <c r="F87" s="7" t="s">
        <v>26</v>
      </c>
      <c r="G87" s="9" t="s">
        <v>60</v>
      </c>
      <c r="H87" s="7">
        <v>12</v>
      </c>
      <c r="I87" s="10">
        <v>69000</v>
      </c>
      <c r="J87" s="10">
        <f t="shared" si="6"/>
        <v>828000</v>
      </c>
      <c r="K87" s="11">
        <v>0</v>
      </c>
      <c r="L87" s="10">
        <f t="shared" si="7"/>
        <v>0</v>
      </c>
      <c r="M87" s="10">
        <f t="shared" si="8"/>
        <v>828000</v>
      </c>
      <c r="N87" s="7" t="s">
        <v>33</v>
      </c>
      <c r="O87" s="7">
        <v>4.3</v>
      </c>
    </row>
    <row r="88" spans="1:15" x14ac:dyDescent="0.25">
      <c r="A88" s="2" t="s">
        <v>175</v>
      </c>
      <c r="B88" s="3">
        <v>45457</v>
      </c>
      <c r="C88" s="4" t="s">
        <v>35</v>
      </c>
      <c r="D88" s="4" t="s">
        <v>127</v>
      </c>
      <c r="E88" s="2" t="s">
        <v>30</v>
      </c>
      <c r="F88" s="2" t="s">
        <v>31</v>
      </c>
      <c r="G88" s="4" t="s">
        <v>68</v>
      </c>
      <c r="H88" s="2">
        <v>18</v>
      </c>
      <c r="I88" s="5">
        <v>35000</v>
      </c>
      <c r="J88" s="5">
        <f t="shared" si="6"/>
        <v>630000</v>
      </c>
      <c r="K88" s="6">
        <v>0.05</v>
      </c>
      <c r="L88" s="5">
        <f t="shared" si="7"/>
        <v>31500</v>
      </c>
      <c r="M88" s="5">
        <f t="shared" si="8"/>
        <v>598500</v>
      </c>
      <c r="N88" s="2" t="s">
        <v>27</v>
      </c>
      <c r="O88" s="2">
        <v>3.6</v>
      </c>
    </row>
    <row r="89" spans="1:15" x14ac:dyDescent="0.25">
      <c r="A89" s="7" t="s">
        <v>176</v>
      </c>
      <c r="B89" s="8">
        <v>45610</v>
      </c>
      <c r="C89" s="9" t="s">
        <v>16</v>
      </c>
      <c r="D89" s="9" t="s">
        <v>99</v>
      </c>
      <c r="E89" s="7" t="s">
        <v>63</v>
      </c>
      <c r="F89" s="7" t="s">
        <v>46</v>
      </c>
      <c r="G89" s="9" t="s">
        <v>72</v>
      </c>
      <c r="H89" s="7">
        <v>15</v>
      </c>
      <c r="I89" s="10">
        <v>247000</v>
      </c>
      <c r="J89" s="10">
        <f t="shared" si="6"/>
        <v>3705000</v>
      </c>
      <c r="K89" s="11">
        <v>0</v>
      </c>
      <c r="L89" s="10">
        <f t="shared" si="7"/>
        <v>0</v>
      </c>
      <c r="M89" s="10">
        <f t="shared" si="8"/>
        <v>3705000</v>
      </c>
      <c r="N89" s="7" t="s">
        <v>47</v>
      </c>
      <c r="O89" s="7">
        <v>4</v>
      </c>
    </row>
    <row r="90" spans="1:15" x14ac:dyDescent="0.25">
      <c r="A90" s="2" t="s">
        <v>177</v>
      </c>
      <c r="B90" s="3">
        <v>45649</v>
      </c>
      <c r="C90" s="4" t="s">
        <v>41</v>
      </c>
      <c r="D90" s="4" t="s">
        <v>89</v>
      </c>
      <c r="E90" s="2" t="s">
        <v>30</v>
      </c>
      <c r="F90" s="2" t="s">
        <v>46</v>
      </c>
      <c r="G90" s="4" t="s">
        <v>20</v>
      </c>
      <c r="H90" s="2">
        <v>9</v>
      </c>
      <c r="I90" s="5">
        <v>84000</v>
      </c>
      <c r="J90" s="5">
        <f t="shared" si="6"/>
        <v>756000</v>
      </c>
      <c r="K90" s="6">
        <v>0</v>
      </c>
      <c r="L90" s="5">
        <f t="shared" si="7"/>
        <v>0</v>
      </c>
      <c r="M90" s="5">
        <f t="shared" si="8"/>
        <v>756000</v>
      </c>
      <c r="N90" s="2" t="s">
        <v>33</v>
      </c>
      <c r="O90" s="2">
        <v>3.9</v>
      </c>
    </row>
    <row r="91" spans="1:15" x14ac:dyDescent="0.25">
      <c r="A91" s="7" t="s">
        <v>178</v>
      </c>
      <c r="B91" s="8">
        <v>45407</v>
      </c>
      <c r="C91" s="9" t="s">
        <v>41</v>
      </c>
      <c r="D91" s="9" t="s">
        <v>179</v>
      </c>
      <c r="E91" s="7" t="s">
        <v>25</v>
      </c>
      <c r="F91" s="7" t="s">
        <v>19</v>
      </c>
      <c r="G91" s="9" t="s">
        <v>56</v>
      </c>
      <c r="H91" s="7">
        <v>10</v>
      </c>
      <c r="I91" s="10">
        <v>84000</v>
      </c>
      <c r="J91" s="10">
        <f t="shared" si="6"/>
        <v>840000</v>
      </c>
      <c r="K91" s="11">
        <v>0</v>
      </c>
      <c r="L91" s="10">
        <f t="shared" si="7"/>
        <v>0</v>
      </c>
      <c r="M91" s="10">
        <f t="shared" si="8"/>
        <v>840000</v>
      </c>
      <c r="N91" s="7" t="s">
        <v>39</v>
      </c>
      <c r="O91" s="7">
        <v>3.8</v>
      </c>
    </row>
    <row r="92" spans="1:15" x14ac:dyDescent="0.25">
      <c r="A92" s="2" t="s">
        <v>180</v>
      </c>
      <c r="B92" s="3">
        <v>45539</v>
      </c>
      <c r="C92" s="4" t="s">
        <v>16</v>
      </c>
      <c r="D92" s="4" t="s">
        <v>99</v>
      </c>
      <c r="E92" s="2" t="s">
        <v>25</v>
      </c>
      <c r="F92" s="2" t="s">
        <v>51</v>
      </c>
      <c r="G92" s="4" t="s">
        <v>60</v>
      </c>
      <c r="H92" s="2">
        <v>10</v>
      </c>
      <c r="I92" s="5">
        <v>297000</v>
      </c>
      <c r="J92" s="5">
        <f t="shared" si="6"/>
        <v>2970000</v>
      </c>
      <c r="K92" s="6">
        <v>0.15</v>
      </c>
      <c r="L92" s="5">
        <f t="shared" si="7"/>
        <v>445500</v>
      </c>
      <c r="M92" s="5">
        <f t="shared" si="8"/>
        <v>2524500</v>
      </c>
      <c r="N92" s="2" t="s">
        <v>33</v>
      </c>
      <c r="O92" s="2">
        <v>3.8</v>
      </c>
    </row>
    <row r="93" spans="1:15" x14ac:dyDescent="0.25">
      <c r="A93" s="7" t="s">
        <v>181</v>
      </c>
      <c r="B93" s="8">
        <v>45327</v>
      </c>
      <c r="C93" s="9" t="s">
        <v>41</v>
      </c>
      <c r="D93" s="9" t="s">
        <v>87</v>
      </c>
      <c r="E93" s="7" t="s">
        <v>30</v>
      </c>
      <c r="F93" s="7" t="s">
        <v>51</v>
      </c>
      <c r="G93" s="9" t="s">
        <v>68</v>
      </c>
      <c r="H93" s="7">
        <v>7</v>
      </c>
      <c r="I93" s="10">
        <v>91000</v>
      </c>
      <c r="J93" s="10">
        <f t="shared" si="6"/>
        <v>637000</v>
      </c>
      <c r="K93" s="11">
        <v>0.1</v>
      </c>
      <c r="L93" s="10">
        <f t="shared" si="7"/>
        <v>63700</v>
      </c>
      <c r="M93" s="10">
        <f t="shared" si="8"/>
        <v>573300</v>
      </c>
      <c r="N93" s="7" t="s">
        <v>21</v>
      </c>
      <c r="O93" s="7">
        <v>4.8</v>
      </c>
    </row>
    <row r="94" spans="1:15" x14ac:dyDescent="0.25">
      <c r="A94" s="2" t="s">
        <v>182</v>
      </c>
      <c r="B94" s="3">
        <v>45629</v>
      </c>
      <c r="C94" s="4" t="s">
        <v>49</v>
      </c>
      <c r="D94" s="4" t="s">
        <v>50</v>
      </c>
      <c r="E94" s="2" t="s">
        <v>18</v>
      </c>
      <c r="F94" s="2" t="s">
        <v>31</v>
      </c>
      <c r="G94" s="4" t="s">
        <v>32</v>
      </c>
      <c r="H94" s="2">
        <v>10</v>
      </c>
      <c r="I94" s="5">
        <v>401000</v>
      </c>
      <c r="J94" s="5">
        <f t="shared" si="6"/>
        <v>4010000</v>
      </c>
      <c r="K94" s="6">
        <v>0</v>
      </c>
      <c r="L94" s="5">
        <f t="shared" si="7"/>
        <v>0</v>
      </c>
      <c r="M94" s="5">
        <f t="shared" si="8"/>
        <v>4010000</v>
      </c>
      <c r="N94" s="2" t="s">
        <v>39</v>
      </c>
      <c r="O94" s="2">
        <v>4.2</v>
      </c>
    </row>
    <row r="95" spans="1:15" x14ac:dyDescent="0.25">
      <c r="A95" s="7" t="s">
        <v>183</v>
      </c>
      <c r="B95" s="8">
        <v>45456</v>
      </c>
      <c r="C95" s="9" t="s">
        <v>41</v>
      </c>
      <c r="D95" s="9" t="s">
        <v>87</v>
      </c>
      <c r="E95" s="7" t="s">
        <v>30</v>
      </c>
      <c r="F95" s="7" t="s">
        <v>96</v>
      </c>
      <c r="G95" s="9" t="s">
        <v>52</v>
      </c>
      <c r="H95" s="7">
        <v>11</v>
      </c>
      <c r="I95" s="10">
        <v>84000</v>
      </c>
      <c r="J95" s="10">
        <f t="shared" si="6"/>
        <v>924000</v>
      </c>
      <c r="K95" s="11">
        <v>0.2</v>
      </c>
      <c r="L95" s="10">
        <f t="shared" si="7"/>
        <v>184800</v>
      </c>
      <c r="M95" s="10">
        <f t="shared" si="8"/>
        <v>739200</v>
      </c>
      <c r="N95" s="7" t="s">
        <v>39</v>
      </c>
      <c r="O95" s="7">
        <v>3.8</v>
      </c>
    </row>
    <row r="96" spans="1:15" x14ac:dyDescent="0.25">
      <c r="A96" s="2" t="s">
        <v>184</v>
      </c>
      <c r="B96" s="3">
        <v>45487</v>
      </c>
      <c r="C96" s="4" t="s">
        <v>44</v>
      </c>
      <c r="D96" s="4" t="s">
        <v>45</v>
      </c>
      <c r="E96" s="2" t="s">
        <v>55</v>
      </c>
      <c r="F96" s="2" t="s">
        <v>37</v>
      </c>
      <c r="G96" s="4" t="s">
        <v>20</v>
      </c>
      <c r="H96" s="2">
        <v>14</v>
      </c>
      <c r="I96" s="5">
        <v>142000</v>
      </c>
      <c r="J96" s="5">
        <f t="shared" si="6"/>
        <v>1988000</v>
      </c>
      <c r="K96" s="6">
        <v>0</v>
      </c>
      <c r="L96" s="5">
        <f t="shared" si="7"/>
        <v>0</v>
      </c>
      <c r="M96" s="5">
        <f t="shared" si="8"/>
        <v>1988000</v>
      </c>
      <c r="N96" s="2" t="s">
        <v>21</v>
      </c>
      <c r="O96" s="2">
        <v>3.9</v>
      </c>
    </row>
    <row r="97" spans="1:15" x14ac:dyDescent="0.25">
      <c r="A97" s="7" t="s">
        <v>185</v>
      </c>
      <c r="B97" s="8">
        <v>45517</v>
      </c>
      <c r="C97" s="9" t="s">
        <v>23</v>
      </c>
      <c r="D97" s="9" t="s">
        <v>118</v>
      </c>
      <c r="E97" s="7" t="s">
        <v>55</v>
      </c>
      <c r="F97" s="7" t="s">
        <v>96</v>
      </c>
      <c r="G97" s="9" t="s">
        <v>32</v>
      </c>
      <c r="H97" s="7">
        <v>5</v>
      </c>
      <c r="I97" s="10">
        <v>81000</v>
      </c>
      <c r="J97" s="10">
        <f t="shared" si="6"/>
        <v>405000</v>
      </c>
      <c r="K97" s="11">
        <v>0.1</v>
      </c>
      <c r="L97" s="10">
        <f t="shared" si="7"/>
        <v>40500</v>
      </c>
      <c r="M97" s="10">
        <f t="shared" si="8"/>
        <v>364500</v>
      </c>
      <c r="N97" s="7" t="s">
        <v>33</v>
      </c>
      <c r="O97" s="7">
        <v>4.7</v>
      </c>
    </row>
    <row r="98" spans="1:15" x14ac:dyDescent="0.25">
      <c r="A98" s="2" t="s">
        <v>186</v>
      </c>
      <c r="B98" s="3">
        <v>45427</v>
      </c>
      <c r="C98" s="4" t="s">
        <v>16</v>
      </c>
      <c r="D98" s="4" t="s">
        <v>54</v>
      </c>
      <c r="E98" s="2" t="s">
        <v>30</v>
      </c>
      <c r="F98" s="2" t="s">
        <v>46</v>
      </c>
      <c r="G98" s="4" t="s">
        <v>56</v>
      </c>
      <c r="H98" s="2">
        <v>14</v>
      </c>
      <c r="I98" s="5">
        <v>111000</v>
      </c>
      <c r="J98" s="5">
        <f t="shared" ref="J98:J129" si="9">H98*I98</f>
        <v>1554000</v>
      </c>
      <c r="K98" s="6">
        <v>0</v>
      </c>
      <c r="L98" s="5">
        <f t="shared" ref="L98:L129" si="10">J98*K98</f>
        <v>0</v>
      </c>
      <c r="M98" s="5">
        <f t="shared" ref="M98:M129" si="11">J98-L98</f>
        <v>1554000</v>
      </c>
      <c r="N98" s="2" t="s">
        <v>69</v>
      </c>
      <c r="O98" s="2">
        <v>4.5999999999999996</v>
      </c>
    </row>
    <row r="99" spans="1:15" x14ac:dyDescent="0.25">
      <c r="A99" s="7" t="s">
        <v>187</v>
      </c>
      <c r="B99" s="8">
        <v>45541</v>
      </c>
      <c r="C99" s="9" t="s">
        <v>35</v>
      </c>
      <c r="D99" s="9" t="s">
        <v>188</v>
      </c>
      <c r="E99" s="7" t="s">
        <v>30</v>
      </c>
      <c r="F99" s="7" t="s">
        <v>26</v>
      </c>
      <c r="G99" s="9" t="s">
        <v>52</v>
      </c>
      <c r="H99" s="7">
        <v>18</v>
      </c>
      <c r="I99" s="10">
        <v>125000</v>
      </c>
      <c r="J99" s="10">
        <f t="shared" si="9"/>
        <v>2250000</v>
      </c>
      <c r="K99" s="11">
        <v>0</v>
      </c>
      <c r="L99" s="10">
        <f t="shared" si="10"/>
        <v>0</v>
      </c>
      <c r="M99" s="10">
        <f t="shared" si="11"/>
        <v>2250000</v>
      </c>
      <c r="N99" s="7" t="s">
        <v>21</v>
      </c>
      <c r="O99" s="7">
        <v>4.4000000000000004</v>
      </c>
    </row>
    <row r="100" spans="1:15" x14ac:dyDescent="0.25">
      <c r="A100" s="2" t="s">
        <v>189</v>
      </c>
      <c r="B100" s="3">
        <v>45616</v>
      </c>
      <c r="C100" s="4" t="s">
        <v>66</v>
      </c>
      <c r="D100" s="4" t="s">
        <v>138</v>
      </c>
      <c r="E100" s="2" t="s">
        <v>25</v>
      </c>
      <c r="F100" s="2" t="s">
        <v>19</v>
      </c>
      <c r="G100" s="4" t="s">
        <v>82</v>
      </c>
      <c r="H100" s="2">
        <v>8</v>
      </c>
      <c r="I100" s="5">
        <v>1716000</v>
      </c>
      <c r="J100" s="5">
        <f t="shared" si="9"/>
        <v>13728000</v>
      </c>
      <c r="K100" s="6">
        <v>0</v>
      </c>
      <c r="L100" s="5">
        <f t="shared" si="10"/>
        <v>0</v>
      </c>
      <c r="M100" s="5">
        <f t="shared" si="11"/>
        <v>13728000</v>
      </c>
      <c r="N100" s="2" t="s">
        <v>69</v>
      </c>
      <c r="O100" s="2">
        <v>5</v>
      </c>
    </row>
    <row r="101" spans="1:15" x14ac:dyDescent="0.25">
      <c r="A101" s="7" t="s">
        <v>190</v>
      </c>
      <c r="B101" s="8">
        <v>45483</v>
      </c>
      <c r="C101" s="9" t="s">
        <v>16</v>
      </c>
      <c r="D101" s="9" t="s">
        <v>99</v>
      </c>
      <c r="E101" s="7" t="s">
        <v>55</v>
      </c>
      <c r="F101" s="7" t="s">
        <v>31</v>
      </c>
      <c r="G101" s="9" t="s">
        <v>32</v>
      </c>
      <c r="H101" s="7">
        <v>2</v>
      </c>
      <c r="I101" s="10">
        <v>200000</v>
      </c>
      <c r="J101" s="10">
        <f t="shared" si="9"/>
        <v>400000</v>
      </c>
      <c r="K101" s="11">
        <v>0.2</v>
      </c>
      <c r="L101" s="10">
        <f t="shared" si="10"/>
        <v>80000</v>
      </c>
      <c r="M101" s="10">
        <f t="shared" si="11"/>
        <v>320000</v>
      </c>
      <c r="N101" s="7" t="s">
        <v>27</v>
      </c>
      <c r="O101" s="7">
        <v>3.6</v>
      </c>
    </row>
    <row r="102" spans="1:15" ht="21.75" customHeight="1" x14ac:dyDescent="0.25">
      <c r="A102" s="1" t="s">
        <v>191</v>
      </c>
      <c r="B102" s="1"/>
      <c r="C102" s="1"/>
      <c r="D102" s="1"/>
      <c r="E102" s="1"/>
      <c r="F102" s="1"/>
      <c r="G102" s="1"/>
      <c r="H102" s="12">
        <f>SUM(H2:H101)</f>
        <v>1049</v>
      </c>
      <c r="I102" s="12">
        <f>AVERAGE(I2:I101)</f>
        <v>325400</v>
      </c>
      <c r="J102" s="12">
        <f>SUM(J2:J101)</f>
        <v>356487000</v>
      </c>
      <c r="K102" s="1"/>
      <c r="L102" s="12">
        <f>SUM(L2:L101)</f>
        <v>29164250</v>
      </c>
      <c r="M102" s="12">
        <f>SUM(M2:M101)</f>
        <v>327322750</v>
      </c>
      <c r="N102" s="1"/>
      <c r="O102" s="13">
        <f>AVERAGE(O2:O101)</f>
        <v>4.056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Retail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Laboratorio</cp:lastModifiedBy>
  <cp:revision>0</cp:revision>
  <dcterms:created xsi:type="dcterms:W3CDTF">2026-04-17T00:21:38Z</dcterms:created>
  <dcterms:modified xsi:type="dcterms:W3CDTF">2026-04-17T00:27:02Z</dcterms:modified>
  <dc:language>en-US</dc:language>
</cp:coreProperties>
</file>